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46A04C15F6480D/Documents/My Data Sources/"/>
    </mc:Choice>
  </mc:AlternateContent>
  <xr:revisionPtr revIDLastSave="407" documentId="8_{F75ED22A-8614-4B7F-B18F-B947CC119857}" xr6:coauthVersionLast="47" xr6:coauthVersionMax="47" xr10:uidLastSave="{546E6C6E-72C0-40A8-9371-5E0434BA0C36}"/>
  <bookViews>
    <workbookView xWindow="-108" yWindow="-108" windowWidth="23256" windowHeight="12456" xr2:uid="{6274D8F0-6EE6-4572-8C12-3AB3BB7DEEF8}"/>
  </bookViews>
  <sheets>
    <sheet name="All_India_Index_Upto_April23 (1" sheetId="1" r:id="rId1"/>
    <sheet name="Broader Contribution" sheetId="2" r:id="rId2"/>
    <sheet name="Y-O-Y CPI Increase" sheetId="3" r:id="rId3"/>
    <sheet name="M-O-M %Change" sheetId="12" r:id="rId4"/>
    <sheet name="COVID % Change" sheetId="18" r:id="rId5"/>
    <sheet name="Oil Inflation" sheetId="23" r:id="rId6"/>
  </sheets>
  <definedNames>
    <definedName name="_xlnm._FilterDatabase" localSheetId="0" hidden="1">'All_India_Index_Upto_April23 (1'!$A$1:$AD$373</definedName>
    <definedName name="_xlcn.WorksheetConnection_All_India_Index_Upto_April231A1AD3671" hidden="1">'All_India_Index_Upto_April23 (1'!$A$1:$AD$373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All_India_Index_Upto_April23 (1!$A$1:$AD$36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2" l="1"/>
  <c r="B26" i="2"/>
  <c r="C26" i="2"/>
  <c r="D26" i="2"/>
  <c r="E26" i="2"/>
  <c r="A26" i="2"/>
  <c r="B17" i="2"/>
  <c r="C17" i="2"/>
  <c r="D17" i="2"/>
  <c r="E17" i="2"/>
  <c r="F17" i="2"/>
  <c r="A17" i="2"/>
  <c r="F8" i="2"/>
  <c r="C8" i="2"/>
  <c r="D8" i="2"/>
  <c r="E8" i="2"/>
  <c r="B8" i="2"/>
  <c r="D76" i="18"/>
  <c r="E76" i="18"/>
  <c r="F76" i="18"/>
  <c r="C76" i="18"/>
  <c r="D69" i="18"/>
  <c r="E69" i="18"/>
  <c r="F69" i="18"/>
  <c r="C69" i="18"/>
  <c r="D61" i="18"/>
  <c r="E61" i="18"/>
  <c r="F61" i="18"/>
  <c r="C61" i="18"/>
  <c r="A8" i="2"/>
  <c r="C51" i="12"/>
  <c r="C52" i="12"/>
  <c r="C53" i="12"/>
  <c r="C50" i="12"/>
  <c r="C49" i="12"/>
  <c r="C43" i="12"/>
  <c r="C44" i="12"/>
  <c r="C45" i="12"/>
  <c r="C46" i="12"/>
  <c r="C47" i="12"/>
  <c r="C42" i="12"/>
  <c r="C33" i="12"/>
  <c r="C34" i="12"/>
  <c r="C35" i="12"/>
  <c r="C32" i="12"/>
  <c r="C31" i="12"/>
  <c r="C25" i="12"/>
  <c r="C26" i="12"/>
  <c r="C27" i="12"/>
  <c r="C28" i="12"/>
  <c r="C29" i="12"/>
  <c r="C24" i="12"/>
  <c r="C15" i="12"/>
  <c r="C16" i="12"/>
  <c r="C17" i="12"/>
  <c r="C14" i="12"/>
  <c r="C13" i="12"/>
  <c r="C7" i="12"/>
  <c r="C8" i="12"/>
  <c r="C9" i="12"/>
  <c r="C10" i="12"/>
  <c r="C11" i="12"/>
  <c r="C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FAC70-4DA3-49A3-B025-F2C48542CF60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  <connection id="2" xr16:uid="{E8720D3F-1CE7-42DC-A69A-7C42C0E03F0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2740012-6295-4FA7-AF07-76A1A52EBE97}" name="WorksheetConnection_All_India_Index_Upto_April23 (1!$A$1:$AD$36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ll_India_Index_Upto_April231A1AD36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Sector].&amp;[Rural]}"/>
    <s v="{[Range].[Sector].&amp;[Urban]}"/>
    <s v="{[Range].[Sector].&amp;[Rural+Urban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<sst xmlns="http://schemas.openxmlformats.org/spreadsheetml/2006/main" count="1657" uniqueCount="145">
  <si>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</si>
  <si>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</si>
  <si>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</si>
  <si>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</si>
  <si>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</si>
  <si>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</si>
  <si>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</si>
  <si>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</si>
  <si>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</si>
  <si>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</si>
  <si>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</si>
  <si>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</si>
  <si>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</si>
  <si>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</si>
  <si>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</si>
  <si>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</si>
  <si>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</si>
  <si>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</si>
  <si>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</si>
  <si>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</si>
  <si>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</si>
  <si>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</si>
  <si>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</si>
  <si>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</si>
  <si>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</si>
  <si>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</si>
  <si>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</si>
  <si>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</si>
  <si>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</si>
  <si>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</si>
  <si>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</si>
  <si>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</si>
  <si>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</si>
  <si>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</si>
  <si>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</si>
  <si>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</si>
  <si>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</si>
  <si>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</si>
  <si>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</si>
  <si>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</si>
  <si>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</si>
  <si>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</si>
  <si>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</si>
  <si>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</si>
  <si>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</si>
  <si>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Sector</t>
  </si>
  <si>
    <t>Row Labels</t>
  </si>
  <si>
    <t>Grand Total</t>
  </si>
  <si>
    <t>Sum of Food and beverages</t>
  </si>
  <si>
    <t>Sum of Pan, tobacco and intoxicants</t>
  </si>
  <si>
    <t>Sum of Clothing and footwear</t>
  </si>
  <si>
    <t>Sum of Fuel and light</t>
  </si>
  <si>
    <t>Sum of Miscellaneous</t>
  </si>
  <si>
    <t>Sum of Housing</t>
  </si>
  <si>
    <t>Insights:-</t>
  </si>
  <si>
    <t>M-O-M %Change</t>
  </si>
  <si>
    <t>Insights :-</t>
  </si>
  <si>
    <t>Category</t>
  </si>
  <si>
    <t>% Change</t>
  </si>
  <si>
    <t>Food &amp; Beverages</t>
  </si>
  <si>
    <t>Fuel &amp; Light</t>
  </si>
  <si>
    <t>Rural + Urban</t>
  </si>
  <si>
    <t>Sum of Transport and communication</t>
  </si>
  <si>
    <t>Sum of General index</t>
  </si>
  <si>
    <t>trend supports a strong link between Oil price hikes and higher inflation in related sectors in India."</t>
  </si>
  <si>
    <t xml:space="preserve">Insights:-    </t>
  </si>
  <si>
    <t>Sum of Cereals and products</t>
  </si>
  <si>
    <t>Sum of Meat and fish</t>
  </si>
  <si>
    <t>Sum of Egg</t>
  </si>
  <si>
    <t>Sum of Milk and products</t>
  </si>
  <si>
    <t>Sum of Oils and fats</t>
  </si>
  <si>
    <t>Sum of Fruits</t>
  </si>
  <si>
    <t>Sum of Vegetables</t>
  </si>
  <si>
    <t>Sum of Sugar and Confectionery</t>
  </si>
  <si>
    <t>Sum of Pulses and products</t>
  </si>
  <si>
    <t>Sum of Spices</t>
  </si>
  <si>
    <t>Sum of Non-alcoholic beverages</t>
  </si>
  <si>
    <t>Sum of Prepared meals, snacks, sweets etc.</t>
  </si>
  <si>
    <t>Total Sum:-</t>
  </si>
  <si>
    <t>Total Sum</t>
  </si>
  <si>
    <t>% Contribution</t>
  </si>
  <si>
    <t xml:space="preserve">for imported oil price on every sector. </t>
  </si>
  <si>
    <t xml:space="preserve">% of General index </t>
  </si>
  <si>
    <t>significant increase in food prices --especially vegetables,</t>
  </si>
  <si>
    <t>driven by delayed monsoon and crop damage. Additionally ,</t>
  </si>
  <si>
    <t>rising global crude oil prices contributed to increased transportation costs ,</t>
  </si>
  <si>
    <t>amplifying the overall inflation."</t>
  </si>
  <si>
    <t>Average of Food and beverages</t>
  </si>
  <si>
    <t>Average of Fuel and light</t>
  </si>
  <si>
    <t>Average of Health</t>
  </si>
  <si>
    <t>Average of Miscellaneous</t>
  </si>
  <si>
    <t xml:space="preserve">On those cells that are shown </t>
  </si>
  <si>
    <t xml:space="preserve">#DIV/0 Error there are no data </t>
  </si>
  <si>
    <t>Average of Inflation  Before(Apr19–Mar20)</t>
  </si>
  <si>
    <t>Average of Inflation After(Apr20–Mar21)</t>
  </si>
  <si>
    <t>pandemic-related disruptions, while higher costs in Health and Fuel &amp;Light reflect increased Healthcare demand and Energy prices."</t>
  </si>
  <si>
    <t>during and after lockdown periods."</t>
  </si>
  <si>
    <r>
      <t xml:space="preserve">       "This analysis based on </t>
    </r>
    <r>
      <rPr>
        <b/>
        <sz val="12"/>
        <color rgb="FFFF0000"/>
        <rFont val="Calibri"/>
        <family val="2"/>
        <scheme val="minor"/>
      </rPr>
      <t xml:space="preserve">Urban </t>
    </r>
    <r>
      <rPr>
        <b/>
        <sz val="12"/>
        <color theme="1"/>
        <rFont val="Calibri"/>
        <family val="2"/>
        <scheme val="minor"/>
      </rPr>
      <t xml:space="preserve">sector data. The highest inflation increase was observed in the </t>
    </r>
  </si>
  <si>
    <t xml:space="preserve">    So , there are no particular category that are mostly affected , all categories are  affected </t>
  </si>
  <si>
    <r>
      <rPr>
        <b/>
        <sz val="11"/>
        <color theme="4" tint="-0.499984740745262"/>
        <rFont val="Calibri"/>
        <family val="2"/>
        <scheme val="minor"/>
      </rPr>
      <t>Rural</t>
    </r>
    <r>
      <rPr>
        <sz val="11"/>
        <color theme="1"/>
        <rFont val="Calibri"/>
        <family val="2"/>
        <scheme val="minor"/>
      </rPr>
      <t xml:space="preserve"> --&gt; October - </t>
    </r>
    <r>
      <rPr>
        <b/>
        <sz val="11"/>
        <color rgb="FF00B050"/>
        <rFont val="Calibri"/>
        <family val="2"/>
        <scheme val="minor"/>
      </rPr>
      <t>108%</t>
    </r>
    <r>
      <rPr>
        <sz val="11"/>
        <color theme="1"/>
        <rFont val="Calibri"/>
        <family val="2"/>
        <scheme val="minor"/>
      </rPr>
      <t>, December -(</t>
    </r>
    <r>
      <rPr>
        <b/>
        <sz val="11"/>
        <color rgb="FFFF0000"/>
        <rFont val="Calibri"/>
        <family val="2"/>
        <scheme val="minor"/>
      </rPr>
      <t>-125%</t>
    </r>
    <r>
      <rPr>
        <sz val="11"/>
        <color theme="1"/>
        <rFont val="Calibri"/>
        <family val="2"/>
        <scheme val="minor"/>
      </rPr>
      <t xml:space="preserve">). </t>
    </r>
  </si>
  <si>
    <r>
      <rPr>
        <b/>
        <sz val="11"/>
        <color rgb="FF002060"/>
        <rFont val="Calibri"/>
        <family val="2"/>
        <scheme val="minor"/>
      </rPr>
      <t>Rural + Urban</t>
    </r>
    <r>
      <rPr>
        <sz val="11"/>
        <color theme="1"/>
        <rFont val="Calibri"/>
        <family val="2"/>
        <scheme val="minor"/>
      </rPr>
      <t xml:space="preserve"> --&gt; October - </t>
    </r>
    <r>
      <rPr>
        <b/>
        <sz val="11"/>
        <color rgb="FF00B050"/>
        <rFont val="Calibri"/>
        <family val="2"/>
        <scheme val="minor"/>
      </rPr>
      <t>101%</t>
    </r>
    <r>
      <rPr>
        <sz val="11"/>
        <color theme="1"/>
        <rFont val="Calibri"/>
        <family val="2"/>
        <scheme val="minor"/>
      </rPr>
      <t>, December - (</t>
    </r>
    <r>
      <rPr>
        <b/>
        <sz val="11"/>
        <color rgb="FFFF0000"/>
        <rFont val="Calibri"/>
        <family val="2"/>
        <scheme val="minor"/>
      </rPr>
      <t>-135%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</si>
  <si>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rgb="FF002060"/>
        <rFont val="Calibri"/>
        <family val="2"/>
        <scheme val="minor"/>
      </rPr>
      <t>Urban</t>
    </r>
    <r>
      <rPr>
        <sz val="11"/>
        <color rgb="FF00206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--&gt; October - </t>
    </r>
    <r>
      <rPr>
        <b/>
        <sz val="11"/>
        <color rgb="FF00B050"/>
        <rFont val="Calibri"/>
        <family val="2"/>
        <scheme val="minor"/>
      </rPr>
      <t>83%</t>
    </r>
    <r>
      <rPr>
        <sz val="11"/>
        <color theme="1"/>
        <rFont val="Calibri"/>
        <family val="2"/>
        <scheme val="minor"/>
      </rPr>
      <t>, December -(</t>
    </r>
    <r>
      <rPr>
        <b/>
        <sz val="11"/>
        <color rgb="FFFF0000"/>
        <rFont val="Calibri"/>
        <family val="2"/>
        <scheme val="minor"/>
      </rPr>
      <t>-149%</t>
    </r>
    <r>
      <rPr>
        <sz val="11"/>
        <color theme="1"/>
        <rFont val="Calibri"/>
        <family val="2"/>
        <scheme val="minor"/>
      </rPr>
      <t>).</t>
    </r>
  </si>
  <si>
    <r>
      <t xml:space="preserve">In Rural + Urban Sector is </t>
    </r>
    <r>
      <rPr>
        <b/>
        <sz val="12"/>
        <color rgb="FF00B050"/>
        <rFont val="Calibri"/>
        <family val="2"/>
        <scheme val="minor"/>
      </rPr>
      <t>13.85%</t>
    </r>
    <r>
      <rPr>
        <b/>
        <sz val="12"/>
        <color theme="1"/>
        <rFont val="Calibri"/>
        <family val="2"/>
        <scheme val="minor"/>
      </rPr>
      <t>.</t>
    </r>
  </si>
  <si>
    <r>
      <t xml:space="preserve">In Urban Sector is </t>
    </r>
    <r>
      <rPr>
        <b/>
        <sz val="12"/>
        <color rgb="FF00B050"/>
        <rFont val="Calibri"/>
        <family val="2"/>
        <scheme val="minor"/>
      </rPr>
      <t>12.61%</t>
    </r>
    <r>
      <rPr>
        <b/>
        <sz val="12"/>
        <color theme="1"/>
        <rFont val="Calibri"/>
        <family val="2"/>
        <scheme val="minor"/>
      </rPr>
      <t>.</t>
    </r>
  </si>
  <si>
    <r>
      <t xml:space="preserve">In Rural Sector is </t>
    </r>
    <r>
      <rPr>
        <b/>
        <sz val="12"/>
        <color rgb="FF00B050"/>
        <rFont val="Calibri"/>
        <family val="2"/>
        <scheme val="minor"/>
      </rPr>
      <t>14.38%</t>
    </r>
    <r>
      <rPr>
        <b/>
        <sz val="12"/>
        <color theme="1"/>
        <rFont val="Calibri"/>
        <family val="2"/>
        <scheme val="minor"/>
      </rPr>
      <t>.</t>
    </r>
  </si>
  <si>
    <r>
      <t xml:space="preserve">In all sectors </t>
    </r>
    <r>
      <rPr>
        <b/>
        <sz val="12"/>
        <color rgb="FF0070C0"/>
        <rFont val="Calibri"/>
        <family val="2"/>
        <scheme val="minor"/>
      </rPr>
      <t>Spices</t>
    </r>
    <r>
      <rPr>
        <b/>
        <sz val="12"/>
        <color rgb="FFFF0000"/>
        <rFont val="Calibri"/>
        <family val="2"/>
        <scheme val="minor"/>
      </rPr>
      <t xml:space="preserve"> contibutes most, such as :-</t>
    </r>
  </si>
  <si>
    <t>present on the main source file,</t>
  </si>
  <si>
    <t>maybe due to COVID -19.</t>
  </si>
  <si>
    <t>likely from increased medical demand, while Fuel &amp; Light saw a moderate increase, reflecting energy price adjustments</t>
  </si>
  <si>
    <r>
      <t xml:space="preserve">Based on latest Month's Data in Every sector that means </t>
    </r>
    <r>
      <rPr>
        <b/>
        <sz val="12"/>
        <color rgb="FF00B0F0"/>
        <rFont val="Calibri"/>
        <family val="2"/>
        <scheme val="minor"/>
      </rPr>
      <t>Rural</t>
    </r>
    <r>
      <rPr>
        <b/>
        <sz val="12"/>
        <color rgb="FFFF0000"/>
        <rFont val="Calibri"/>
        <family val="2"/>
        <scheme val="minor"/>
      </rPr>
      <t xml:space="preserve"> ,</t>
    </r>
    <r>
      <rPr>
        <b/>
        <sz val="12"/>
        <color rgb="FF00B050"/>
        <rFont val="Calibri"/>
        <family val="2"/>
        <scheme val="minor"/>
      </rPr>
      <t xml:space="preserve"> Urban</t>
    </r>
    <r>
      <rPr>
        <b/>
        <sz val="12"/>
        <color rgb="FFFF0000"/>
        <rFont val="Calibri"/>
        <family val="2"/>
        <scheme val="minor"/>
      </rPr>
      <t xml:space="preserve"> &amp; </t>
    </r>
    <r>
      <rPr>
        <b/>
        <sz val="12"/>
        <color rgb="FF00B0F0"/>
        <rFont val="Calibri"/>
        <family val="2"/>
        <scheme val="minor"/>
      </rPr>
      <t>Rural</t>
    </r>
    <r>
      <rPr>
        <b/>
        <sz val="12"/>
        <color rgb="FFFF0000"/>
        <rFont val="Calibri"/>
        <family val="2"/>
        <scheme val="minor"/>
      </rPr>
      <t xml:space="preserve"> + </t>
    </r>
    <r>
      <rPr>
        <b/>
        <sz val="12"/>
        <color rgb="FF00B050"/>
        <rFont val="Calibri"/>
        <family val="2"/>
        <scheme val="minor"/>
      </rPr>
      <t xml:space="preserve">Urban  </t>
    </r>
  </si>
  <si>
    <r>
      <rPr>
        <b/>
        <sz val="12"/>
        <color rgb="FF7030A0"/>
        <rFont val="Calibri"/>
        <family val="2"/>
        <scheme val="minor"/>
      </rPr>
      <t xml:space="preserve">Pan,tobacco &amp; intoxidents </t>
    </r>
    <r>
      <rPr>
        <b/>
        <sz val="12"/>
        <color rgb="FFFF0000"/>
        <rFont val="Calibri"/>
        <family val="2"/>
        <scheme val="minor"/>
      </rPr>
      <t>has the highest contribution in CPI inflation.</t>
    </r>
  </si>
  <si>
    <t xml:space="preserve">            is  not</t>
  </si>
  <si>
    <t xml:space="preserve">          available.</t>
  </si>
  <si>
    <r>
      <rPr>
        <b/>
        <sz val="11"/>
        <color rgb="FF7030A0"/>
        <rFont val="Calibri"/>
        <family val="2"/>
        <scheme val="minor"/>
      </rPr>
      <t>Before</t>
    </r>
    <r>
      <rPr>
        <b/>
        <sz val="11"/>
        <color rgb="FFFF0000"/>
        <rFont val="Calibri"/>
        <family val="2"/>
        <scheme val="minor"/>
      </rPr>
      <t xml:space="preserve"> COVID - 19 </t>
    </r>
  </si>
  <si>
    <r>
      <rPr>
        <b/>
        <sz val="11"/>
        <color rgb="FF7030A0"/>
        <rFont val="Calibri"/>
        <family val="2"/>
        <scheme val="minor"/>
      </rPr>
      <t xml:space="preserve">After </t>
    </r>
    <r>
      <rPr>
        <b/>
        <sz val="11"/>
        <color rgb="FFFF0000"/>
        <rFont val="Calibri"/>
        <family val="2"/>
        <scheme val="minor"/>
      </rPr>
      <t>COVID - 19</t>
    </r>
  </si>
  <si>
    <r>
      <t>"</t>
    </r>
    <r>
      <rPr>
        <b/>
        <sz val="12"/>
        <color rgb="FFFF0000"/>
        <rFont val="Calibri"/>
        <family val="2"/>
        <scheme val="minor"/>
      </rPr>
      <t xml:space="preserve">In my analysis, I created a combo chart displaying monthly Oil prices on </t>
    </r>
    <r>
      <rPr>
        <b/>
        <sz val="12"/>
        <color rgb="FF7030A0"/>
        <rFont val="Calibri"/>
        <family val="2"/>
        <scheme val="minor"/>
      </rPr>
      <t>Fuel &amp; Light</t>
    </r>
    <r>
      <rPr>
        <b/>
        <sz val="12"/>
        <color rgb="FFFF0000"/>
        <rFont val="Calibri"/>
        <family val="2"/>
        <scheme val="minor"/>
      </rPr>
      <t xml:space="preserve"> column</t>
    </r>
  </si>
  <si>
    <r>
      <t>alongside</t>
    </r>
    <r>
      <rPr>
        <b/>
        <sz val="12"/>
        <color rgb="FF7030A0"/>
        <rFont val="Calibri"/>
        <family val="2"/>
        <scheme val="minor"/>
      </rPr>
      <t xml:space="preserve"> Transport &amp; Communication</t>
    </r>
    <r>
      <rPr>
        <b/>
        <sz val="12"/>
        <color rgb="FFFF0000"/>
        <rFont val="Calibri"/>
        <family val="2"/>
        <scheme val="minor"/>
      </rPr>
      <t xml:space="preserve"> and </t>
    </r>
    <r>
      <rPr>
        <b/>
        <sz val="12"/>
        <color rgb="FF7030A0"/>
        <rFont val="Calibri"/>
        <family val="2"/>
        <scheme val="minor"/>
      </rPr>
      <t xml:space="preserve">General index </t>
    </r>
    <r>
      <rPr>
        <b/>
        <sz val="12"/>
        <color rgb="FFFF0000"/>
        <rFont val="Calibri"/>
        <family val="2"/>
        <scheme val="minor"/>
      </rPr>
      <t>CPI indices</t>
    </r>
  </si>
  <si>
    <r>
      <t xml:space="preserve">there were corresponding increase in </t>
    </r>
    <r>
      <rPr>
        <b/>
        <sz val="12"/>
        <color rgb="FF7030A0"/>
        <rFont val="Calibri"/>
        <family val="2"/>
        <scheme val="minor"/>
      </rPr>
      <t xml:space="preserve">Transport &amp; Communication </t>
    </r>
    <r>
      <rPr>
        <b/>
        <sz val="12"/>
        <color rgb="FFFF0000"/>
        <rFont val="Calibri"/>
        <family val="2"/>
        <scheme val="minor"/>
      </rPr>
      <t xml:space="preserve">and </t>
    </r>
    <r>
      <rPr>
        <b/>
        <sz val="12"/>
        <color rgb="FF7030A0"/>
        <rFont val="Calibri"/>
        <family val="2"/>
        <scheme val="minor"/>
      </rPr>
      <t xml:space="preserve">General Index </t>
    </r>
    <r>
      <rPr>
        <b/>
        <sz val="12"/>
        <color rgb="FFFF0000"/>
        <rFont val="Calibri"/>
        <family val="2"/>
        <scheme val="minor"/>
      </rPr>
      <t>also. This visual</t>
    </r>
  </si>
  <si>
    <r>
      <t>"</t>
    </r>
    <r>
      <rPr>
        <b/>
        <sz val="12"/>
        <color rgb="FFFF0000"/>
        <rFont val="Calibri"/>
        <family val="2"/>
        <scheme val="minor"/>
      </rPr>
      <t>In my analysis, I created a combo chart displaying monthly Oil prices on</t>
    </r>
    <r>
      <rPr>
        <b/>
        <sz val="12"/>
        <color rgb="FF7030A0"/>
        <rFont val="Calibri"/>
        <family val="2"/>
        <scheme val="minor"/>
      </rPr>
      <t xml:space="preserve"> Fuel &amp; Light </t>
    </r>
    <r>
      <rPr>
        <b/>
        <sz val="12"/>
        <color rgb="FFFF0000"/>
        <rFont val="Calibri"/>
        <family val="2"/>
        <scheme val="minor"/>
      </rPr>
      <t>column</t>
    </r>
  </si>
  <si>
    <r>
      <t xml:space="preserve">alongside </t>
    </r>
    <r>
      <rPr>
        <b/>
        <sz val="12"/>
        <color rgb="FF7030A0"/>
        <rFont val="Calibri"/>
        <family val="2"/>
        <scheme val="minor"/>
      </rPr>
      <t>Transport &amp; Communication</t>
    </r>
    <r>
      <rPr>
        <b/>
        <sz val="12"/>
        <color rgb="FFFF0000"/>
        <rFont val="Calibri"/>
        <family val="2"/>
        <scheme val="minor"/>
      </rPr>
      <t xml:space="preserve"> and </t>
    </r>
    <r>
      <rPr>
        <b/>
        <sz val="12"/>
        <color rgb="FF7030A0"/>
        <rFont val="Calibri"/>
        <family val="2"/>
        <scheme val="minor"/>
      </rPr>
      <t xml:space="preserve">General index </t>
    </r>
    <r>
      <rPr>
        <b/>
        <sz val="12"/>
        <color rgb="FFFF0000"/>
        <rFont val="Calibri"/>
        <family val="2"/>
        <scheme val="minor"/>
      </rPr>
      <t>CPI indices</t>
    </r>
  </si>
  <si>
    <r>
      <t xml:space="preserve">from </t>
    </r>
    <r>
      <rPr>
        <b/>
        <sz val="12"/>
        <color rgb="FF92D050"/>
        <rFont val="Calibri"/>
        <family val="2"/>
        <scheme val="minor"/>
      </rPr>
      <t xml:space="preserve">2021 </t>
    </r>
    <r>
      <rPr>
        <b/>
        <sz val="12"/>
        <color rgb="FFFF0000"/>
        <rFont val="Calibri"/>
        <family val="2"/>
        <scheme val="minor"/>
      </rPr>
      <t>to</t>
    </r>
    <r>
      <rPr>
        <b/>
        <sz val="12"/>
        <color rgb="FF92D050"/>
        <rFont val="Calibri"/>
        <family val="2"/>
        <scheme val="minor"/>
      </rPr>
      <t xml:space="preserve"> 2023</t>
    </r>
    <r>
      <rPr>
        <b/>
        <sz val="12"/>
        <color rgb="FFFF0000"/>
        <rFont val="Calibri"/>
        <family val="2"/>
        <scheme val="minor"/>
      </rPr>
      <t>. &amp; 2023 is partial year. The chart clearly shows that in which months Oil prices hike most- such as</t>
    </r>
    <r>
      <rPr>
        <b/>
        <sz val="12"/>
        <color rgb="FF92D050"/>
        <rFont val="Calibri"/>
        <family val="2"/>
        <scheme val="minor"/>
      </rPr>
      <t xml:space="preserve"> 2021</t>
    </r>
    <r>
      <rPr>
        <b/>
        <sz val="12"/>
        <color rgb="FFFF0000"/>
        <rFont val="Calibri"/>
        <family val="2"/>
        <scheme val="minor"/>
      </rPr>
      <t xml:space="preserve"> February but on April </t>
    </r>
    <r>
      <rPr>
        <b/>
        <sz val="12"/>
        <color rgb="FF92D050"/>
        <rFont val="Calibri"/>
        <family val="2"/>
        <scheme val="minor"/>
      </rPr>
      <t xml:space="preserve">2022 </t>
    </r>
  </si>
  <si>
    <r>
      <t xml:space="preserve">alongside </t>
    </r>
    <r>
      <rPr>
        <b/>
        <sz val="12"/>
        <color rgb="FF7030A0"/>
        <rFont val="Calibri"/>
        <family val="2"/>
        <scheme val="minor"/>
      </rPr>
      <t>Transport &amp; Communication</t>
    </r>
    <r>
      <rPr>
        <b/>
        <sz val="12"/>
        <color rgb="FFFF0000"/>
        <rFont val="Calibri"/>
        <family val="2"/>
        <scheme val="minor"/>
      </rPr>
      <t xml:space="preserve"> and </t>
    </r>
    <r>
      <rPr>
        <b/>
        <sz val="12"/>
        <color rgb="FF7030A0"/>
        <rFont val="Calibri"/>
        <family val="2"/>
        <scheme val="minor"/>
      </rPr>
      <t>General index</t>
    </r>
    <r>
      <rPr>
        <b/>
        <sz val="12"/>
        <color rgb="FFFF0000"/>
        <rFont val="Calibri"/>
        <family val="2"/>
        <scheme val="minor"/>
      </rPr>
      <t xml:space="preserve"> CPI indices</t>
    </r>
  </si>
  <si>
    <r>
      <t>there were corresponding increase in</t>
    </r>
    <r>
      <rPr>
        <b/>
        <sz val="12"/>
        <color rgb="FF7030A0"/>
        <rFont val="Calibri"/>
        <family val="2"/>
        <scheme val="minor"/>
      </rPr>
      <t xml:space="preserve"> Transport &amp; Communication</t>
    </r>
    <r>
      <rPr>
        <b/>
        <sz val="12"/>
        <color rgb="FFFF0000"/>
        <rFont val="Calibri"/>
        <family val="2"/>
        <scheme val="minor"/>
      </rPr>
      <t xml:space="preserve"> and </t>
    </r>
    <r>
      <rPr>
        <b/>
        <sz val="12"/>
        <color rgb="FF7030A0"/>
        <rFont val="Calibri"/>
        <family val="2"/>
        <scheme val="minor"/>
      </rPr>
      <t>General Index</t>
    </r>
    <r>
      <rPr>
        <b/>
        <sz val="12"/>
        <color rgb="FFFF0000"/>
        <rFont val="Calibri"/>
        <family val="2"/>
        <scheme val="minor"/>
      </rPr>
      <t xml:space="preserve"> also. This visual</t>
    </r>
  </si>
  <si>
    <t xml:space="preserve">  &lt;- April month Data  </t>
  </si>
  <si>
    <t xml:space="preserve">  &lt;-April month Data  </t>
  </si>
  <si>
    <r>
      <t>from</t>
    </r>
    <r>
      <rPr>
        <b/>
        <sz val="12"/>
        <color rgb="FF92D050"/>
        <rFont val="Calibri"/>
        <family val="2"/>
        <scheme val="minor"/>
      </rPr>
      <t xml:space="preserve"> 2021 </t>
    </r>
    <r>
      <rPr>
        <b/>
        <sz val="12"/>
        <color rgb="FFFF0000"/>
        <rFont val="Calibri"/>
        <family val="2"/>
        <scheme val="minor"/>
      </rPr>
      <t xml:space="preserve">to </t>
    </r>
    <r>
      <rPr>
        <b/>
        <sz val="12"/>
        <color rgb="FF92D050"/>
        <rFont val="Calibri"/>
        <family val="2"/>
        <scheme val="minor"/>
      </rPr>
      <t>2023</t>
    </r>
    <r>
      <rPr>
        <b/>
        <sz val="12"/>
        <color rgb="FFFF0000"/>
        <rFont val="Calibri"/>
        <family val="2"/>
        <scheme val="minor"/>
      </rPr>
      <t xml:space="preserve">. &amp; 2023 is partial year. The chart clearly shows that in which months Oil prices hike most - such as </t>
    </r>
    <r>
      <rPr>
        <b/>
        <sz val="12"/>
        <color rgb="FF92D050"/>
        <rFont val="Calibri"/>
        <family val="2"/>
        <scheme val="minor"/>
      </rPr>
      <t>2021</t>
    </r>
    <r>
      <rPr>
        <b/>
        <sz val="12"/>
        <color rgb="FFFF0000"/>
        <rFont val="Calibri"/>
        <family val="2"/>
        <scheme val="minor"/>
      </rPr>
      <t xml:space="preserve"> May but on</t>
    </r>
    <r>
      <rPr>
        <b/>
        <sz val="12"/>
        <color rgb="FF92D050"/>
        <rFont val="Calibri"/>
        <family val="2"/>
        <scheme val="minor"/>
      </rPr>
      <t xml:space="preserve"> 2022 </t>
    </r>
    <r>
      <rPr>
        <b/>
        <sz val="12"/>
        <color rgb="FFFF0000"/>
        <rFont val="Calibri"/>
        <family val="2"/>
        <scheme val="minor"/>
      </rPr>
      <t xml:space="preserve">April </t>
    </r>
  </si>
  <si>
    <r>
      <t xml:space="preserve">from </t>
    </r>
    <r>
      <rPr>
        <b/>
        <sz val="12"/>
        <color rgb="FF92D050"/>
        <rFont val="Calibri"/>
        <family val="2"/>
        <scheme val="minor"/>
      </rPr>
      <t>2021</t>
    </r>
    <r>
      <rPr>
        <b/>
        <sz val="12"/>
        <color rgb="FFFF0000"/>
        <rFont val="Calibri"/>
        <family val="2"/>
        <scheme val="minor"/>
      </rPr>
      <t xml:space="preserve"> to</t>
    </r>
    <r>
      <rPr>
        <b/>
        <sz val="12"/>
        <color rgb="FF92D050"/>
        <rFont val="Calibri"/>
        <family val="2"/>
        <scheme val="minor"/>
      </rPr>
      <t xml:space="preserve"> 2023</t>
    </r>
    <r>
      <rPr>
        <b/>
        <sz val="12"/>
        <color rgb="FFFF0000"/>
        <rFont val="Calibri"/>
        <family val="2"/>
        <scheme val="minor"/>
      </rPr>
      <t>. &amp; 2023 is partial year. The chart clearly shows that in which months Oil prices hike - such as</t>
    </r>
    <r>
      <rPr>
        <b/>
        <sz val="12"/>
        <color rgb="FF92D050"/>
        <rFont val="Calibri"/>
        <family val="2"/>
        <scheme val="minor"/>
      </rPr>
      <t xml:space="preserve"> 2021 </t>
    </r>
    <r>
      <rPr>
        <b/>
        <sz val="12"/>
        <color rgb="FFFF0000"/>
        <rFont val="Calibri"/>
        <family val="2"/>
        <scheme val="minor"/>
      </rPr>
      <t>February most but on this date General index goes in minus but on April</t>
    </r>
    <r>
      <rPr>
        <b/>
        <sz val="12"/>
        <color rgb="FF92D050"/>
        <rFont val="Calibri"/>
        <family val="2"/>
        <scheme val="minor"/>
      </rPr>
      <t xml:space="preserve"> 2022 </t>
    </r>
  </si>
  <si>
    <r>
      <t xml:space="preserve">there were corresponding increase in </t>
    </r>
    <r>
      <rPr>
        <b/>
        <sz val="12"/>
        <color rgb="FF7030A0"/>
        <rFont val="Calibri"/>
        <family val="2"/>
        <scheme val="minor"/>
      </rPr>
      <t>Transport &amp; Communication</t>
    </r>
    <r>
      <rPr>
        <b/>
        <sz val="12"/>
        <color rgb="FFFF0000"/>
        <rFont val="Calibri"/>
        <family val="2"/>
        <scheme val="minor"/>
      </rPr>
      <t xml:space="preserve"> and </t>
    </r>
    <r>
      <rPr>
        <b/>
        <sz val="12"/>
        <color rgb="FF7030A0"/>
        <rFont val="Calibri"/>
        <family val="2"/>
        <scheme val="minor"/>
      </rPr>
      <t xml:space="preserve">General Index </t>
    </r>
    <r>
      <rPr>
        <b/>
        <sz val="12"/>
        <color rgb="FFFF0000"/>
        <rFont val="Calibri"/>
        <family val="2"/>
        <scheme val="minor"/>
      </rPr>
      <t>also. This visual</t>
    </r>
  </si>
  <si>
    <r>
      <t xml:space="preserve">"In </t>
    </r>
    <r>
      <rPr>
        <b/>
        <i/>
        <sz val="12"/>
        <color rgb="FF00B050"/>
        <rFont val="Calibri"/>
        <family val="2"/>
        <scheme val="minor"/>
      </rPr>
      <t>2019</t>
    </r>
    <r>
      <rPr>
        <b/>
        <i/>
        <sz val="12"/>
        <color rgb="FFFF0000"/>
        <rFont val="Calibri"/>
        <family val="2"/>
        <scheme val="minor"/>
      </rPr>
      <t>, the highest inflation was observed :</t>
    </r>
  </si>
  <si>
    <r>
      <rPr>
        <b/>
        <i/>
        <sz val="12"/>
        <color rgb="FF002060"/>
        <rFont val="Calibri"/>
        <family val="2"/>
        <scheme val="minor"/>
      </rPr>
      <t>Rural + Urban</t>
    </r>
    <r>
      <rPr>
        <b/>
        <i/>
        <sz val="12"/>
        <color rgb="FFFF0000"/>
        <rFont val="Calibri"/>
        <family val="2"/>
        <scheme val="minor"/>
      </rPr>
      <t xml:space="preserve"> by </t>
    </r>
    <r>
      <rPr>
        <b/>
        <i/>
        <sz val="12"/>
        <color rgb="FF00B050"/>
        <rFont val="Calibri"/>
        <family val="2"/>
        <scheme val="minor"/>
      </rPr>
      <t>7.74%</t>
    </r>
    <r>
      <rPr>
        <b/>
        <i/>
        <sz val="12"/>
        <color rgb="FFFF0000"/>
        <rFont val="Calibri"/>
        <family val="2"/>
        <scheme val="minor"/>
      </rPr>
      <t>.</t>
    </r>
  </si>
  <si>
    <r>
      <t xml:space="preserve">and </t>
    </r>
    <r>
      <rPr>
        <b/>
        <sz val="12"/>
        <color rgb="FF00B050"/>
        <rFont val="Calibri"/>
        <family val="2"/>
        <scheme val="minor"/>
      </rPr>
      <t>2023</t>
    </r>
    <r>
      <rPr>
        <b/>
        <sz val="12"/>
        <color rgb="FFFF0000"/>
        <rFont val="Calibri"/>
        <family val="2"/>
        <scheme val="minor"/>
      </rPr>
      <t xml:space="preserve"> is a partial year which inflation was </t>
    </r>
    <r>
      <rPr>
        <b/>
        <sz val="12"/>
        <color rgb="FF00B050"/>
        <rFont val="Calibri"/>
        <family val="2"/>
        <scheme val="minor"/>
      </rPr>
      <t>1.47%</t>
    </r>
    <r>
      <rPr>
        <b/>
        <sz val="12"/>
        <color rgb="FFFF0000"/>
        <rFont val="Calibri"/>
        <family val="2"/>
        <scheme val="minor"/>
      </rPr>
      <t>.</t>
    </r>
  </si>
  <si>
    <r>
      <t xml:space="preserve">In </t>
    </r>
    <r>
      <rPr>
        <b/>
        <sz val="12"/>
        <color rgb="FFFF0000"/>
        <rFont val="Calibri"/>
        <family val="2"/>
        <scheme val="minor"/>
      </rPr>
      <t>2019</t>
    </r>
    <r>
      <rPr>
        <b/>
        <sz val="12"/>
        <color theme="9" tint="-0.249977111117893"/>
        <rFont val="Calibri"/>
        <family val="2"/>
        <scheme val="minor"/>
      </rPr>
      <t xml:space="preserve"> , the highest inflation rate was primarily due to a </t>
    </r>
  </si>
  <si>
    <t>In different sectors October 2022 has the Highest &amp; December 2022 has the Lowest inflation, such as :-</t>
  </si>
  <si>
    <r>
      <t xml:space="preserve">        "This analysis is based on </t>
    </r>
    <r>
      <rPr>
        <b/>
        <sz val="12"/>
        <color rgb="FFFF0000"/>
        <rFont val="Calibri"/>
        <family val="2"/>
        <scheme val="minor"/>
      </rPr>
      <t>Rural</t>
    </r>
    <r>
      <rPr>
        <b/>
        <sz val="12"/>
        <color theme="1"/>
        <rFont val="Calibri"/>
        <family val="2"/>
        <scheme val="minor"/>
      </rPr>
      <t xml:space="preserve"> sector data.</t>
    </r>
    <r>
      <rPr>
        <b/>
        <sz val="12"/>
        <color rgb="FF00B0F0"/>
        <rFont val="Calibri"/>
        <family val="2"/>
        <scheme val="minor"/>
      </rPr>
      <t xml:space="preserve"> Food &amp; Beverages</t>
    </r>
    <r>
      <rPr>
        <b/>
        <sz val="12"/>
        <color theme="1"/>
        <rFont val="Calibri"/>
        <family val="2"/>
        <scheme val="minor"/>
      </rPr>
      <t xml:space="preserve"> showed the </t>
    </r>
  </si>
  <si>
    <r>
      <t xml:space="preserve">highest inflation increase at </t>
    </r>
    <r>
      <rPr>
        <b/>
        <sz val="12"/>
        <color rgb="FF00B050"/>
        <rFont val="Calibri"/>
        <family val="2"/>
        <scheme val="minor"/>
      </rPr>
      <t>6.51%</t>
    </r>
    <r>
      <rPr>
        <b/>
        <sz val="12"/>
        <color theme="1"/>
        <rFont val="Calibri"/>
        <family val="2"/>
        <scheme val="minor"/>
      </rPr>
      <t xml:space="preserve">, followed by </t>
    </r>
    <r>
      <rPr>
        <b/>
        <sz val="12"/>
        <color rgb="FF00B0F0"/>
        <rFont val="Calibri"/>
        <family val="2"/>
        <scheme val="minor"/>
      </rPr>
      <t xml:space="preserve">Miscellaneous </t>
    </r>
    <r>
      <rPr>
        <b/>
        <sz val="12"/>
        <color theme="1"/>
        <rFont val="Calibri"/>
        <family val="2"/>
        <scheme val="minor"/>
      </rPr>
      <t xml:space="preserve">at </t>
    </r>
    <r>
      <rPr>
        <b/>
        <sz val="12"/>
        <color rgb="FF00B050"/>
        <rFont val="Calibri"/>
        <family val="2"/>
        <scheme val="minor"/>
      </rPr>
      <t xml:space="preserve">5.87% </t>
    </r>
    <r>
      <rPr>
        <b/>
        <sz val="12"/>
        <color theme="1"/>
        <rFont val="Calibri"/>
        <family val="2"/>
        <scheme val="minor"/>
      </rPr>
      <t xml:space="preserve">and </t>
    </r>
    <r>
      <rPr>
        <b/>
        <sz val="12"/>
        <color rgb="FF00B0F0"/>
        <rFont val="Calibri"/>
        <family val="2"/>
        <scheme val="minor"/>
      </rPr>
      <t xml:space="preserve">Health </t>
    </r>
    <r>
      <rPr>
        <b/>
        <sz val="12"/>
        <color theme="1"/>
        <rFont val="Calibri"/>
        <family val="2"/>
        <scheme val="minor"/>
      </rPr>
      <t xml:space="preserve">at </t>
    </r>
  </si>
  <si>
    <r>
      <rPr>
        <b/>
        <sz val="12"/>
        <color rgb="FF00B0F0"/>
        <rFont val="Calibri"/>
        <family val="2"/>
        <scheme val="minor"/>
      </rPr>
      <t>Miscellaneous</t>
    </r>
    <r>
      <rPr>
        <b/>
        <sz val="12"/>
        <color theme="1"/>
        <rFont val="Calibri"/>
        <family val="2"/>
        <scheme val="minor"/>
      </rPr>
      <t xml:space="preserve"> category at</t>
    </r>
    <r>
      <rPr>
        <b/>
        <sz val="12"/>
        <color rgb="FF00B050"/>
        <rFont val="Calibri"/>
        <family val="2"/>
        <scheme val="minor"/>
      </rPr>
      <t xml:space="preserve"> 7.32%</t>
    </r>
    <r>
      <rPr>
        <b/>
        <sz val="12"/>
        <color theme="1"/>
        <rFont val="Calibri"/>
        <family val="2"/>
        <scheme val="minor"/>
      </rPr>
      <t xml:space="preserve">, followed by </t>
    </r>
    <r>
      <rPr>
        <b/>
        <sz val="12"/>
        <color rgb="FF00B0F0"/>
        <rFont val="Calibri"/>
        <family val="2"/>
        <scheme val="minor"/>
      </rPr>
      <t xml:space="preserve">Food &amp; Beverages </t>
    </r>
    <r>
      <rPr>
        <b/>
        <sz val="12"/>
        <color theme="1"/>
        <rFont val="Calibri"/>
        <family val="2"/>
        <scheme val="minor"/>
      </rPr>
      <t xml:space="preserve">at </t>
    </r>
    <r>
      <rPr>
        <b/>
        <sz val="12"/>
        <color rgb="FF00B050"/>
        <rFont val="Calibri"/>
        <family val="2"/>
        <scheme val="minor"/>
      </rPr>
      <t>7.14%</t>
    </r>
    <r>
      <rPr>
        <b/>
        <sz val="12"/>
        <color theme="1"/>
        <rFont val="Calibri"/>
        <family val="2"/>
        <scheme val="minor"/>
      </rPr>
      <t xml:space="preserve">, </t>
    </r>
    <r>
      <rPr>
        <b/>
        <sz val="12"/>
        <color rgb="FF00B0F0"/>
        <rFont val="Calibri"/>
        <family val="2"/>
        <scheme val="minor"/>
      </rPr>
      <t>Fuel &amp; Light</t>
    </r>
    <r>
      <rPr>
        <b/>
        <sz val="12"/>
        <color theme="1"/>
        <rFont val="Calibri"/>
        <family val="2"/>
        <scheme val="minor"/>
      </rPr>
      <t xml:space="preserve"> at </t>
    </r>
    <r>
      <rPr>
        <b/>
        <sz val="12"/>
        <color rgb="FF00B050"/>
        <rFont val="Calibri"/>
        <family val="2"/>
        <scheme val="minor"/>
      </rPr>
      <t>6.68%</t>
    </r>
    <r>
      <rPr>
        <b/>
        <sz val="12"/>
        <color theme="1"/>
        <rFont val="Calibri"/>
        <family val="2"/>
        <scheme val="minor"/>
      </rPr>
      <t xml:space="preserve">,and </t>
    </r>
    <r>
      <rPr>
        <b/>
        <sz val="12"/>
        <color rgb="FF00B0F0"/>
        <rFont val="Calibri"/>
        <family val="2"/>
        <scheme val="minor"/>
      </rPr>
      <t xml:space="preserve">Health </t>
    </r>
    <r>
      <rPr>
        <b/>
        <sz val="12"/>
        <color theme="1"/>
        <rFont val="Calibri"/>
        <family val="2"/>
        <scheme val="minor"/>
      </rPr>
      <t xml:space="preserve">at </t>
    </r>
    <r>
      <rPr>
        <b/>
        <sz val="12"/>
        <color rgb="FF00B050"/>
        <rFont val="Calibri"/>
        <family val="2"/>
        <scheme val="minor"/>
      </rPr>
      <t>6.19%</t>
    </r>
    <r>
      <rPr>
        <b/>
        <sz val="12"/>
        <color theme="1"/>
        <rFont val="Calibri"/>
        <family val="2"/>
        <scheme val="minor"/>
      </rPr>
      <t>.</t>
    </r>
  </si>
  <si>
    <r>
      <t xml:space="preserve">       "This analysis uses combined </t>
    </r>
    <r>
      <rPr>
        <b/>
        <sz val="12"/>
        <color rgb="FFFF0000"/>
        <rFont val="Calibri"/>
        <family val="2"/>
        <scheme val="minor"/>
      </rPr>
      <t xml:space="preserve">Rural and Urban </t>
    </r>
    <r>
      <rPr>
        <b/>
        <sz val="12"/>
        <color theme="1"/>
        <rFont val="Calibri"/>
        <family val="2"/>
        <scheme val="minor"/>
      </rPr>
      <t xml:space="preserve">data. After </t>
    </r>
    <r>
      <rPr>
        <b/>
        <sz val="12"/>
        <color rgb="FFFF0000"/>
        <rFont val="Calibri"/>
        <family val="2"/>
        <scheme val="minor"/>
      </rPr>
      <t>COVID -19</t>
    </r>
    <r>
      <rPr>
        <b/>
        <sz val="12"/>
        <color theme="1"/>
        <rFont val="Calibri"/>
        <family val="2"/>
        <scheme val="minor"/>
      </rPr>
      <t xml:space="preserve">, </t>
    </r>
    <r>
      <rPr>
        <b/>
        <sz val="12"/>
        <color rgb="FF00B0F0"/>
        <rFont val="Calibri"/>
        <family val="2"/>
        <scheme val="minor"/>
      </rPr>
      <t xml:space="preserve">Food &amp; Beverages </t>
    </r>
    <r>
      <rPr>
        <b/>
        <sz val="12"/>
        <color theme="1"/>
        <rFont val="Calibri"/>
        <family val="2"/>
        <scheme val="minor"/>
      </rPr>
      <t xml:space="preserve">inflation </t>
    </r>
  </si>
  <si>
    <r>
      <t xml:space="preserve">rise by </t>
    </r>
    <r>
      <rPr>
        <b/>
        <sz val="12"/>
        <color rgb="FF00B050"/>
        <rFont val="Calibri"/>
        <family val="2"/>
        <scheme val="minor"/>
      </rPr>
      <t>6.74%</t>
    </r>
    <r>
      <rPr>
        <b/>
        <sz val="12"/>
        <color theme="1"/>
        <rFont val="Calibri"/>
        <family val="2"/>
        <scheme val="minor"/>
      </rPr>
      <t xml:space="preserve">, </t>
    </r>
    <r>
      <rPr>
        <b/>
        <sz val="12"/>
        <color rgb="FF00B0F0"/>
        <rFont val="Calibri"/>
        <family val="2"/>
        <scheme val="minor"/>
      </rPr>
      <t>Miscellaneous</t>
    </r>
    <r>
      <rPr>
        <b/>
        <sz val="12"/>
        <color theme="1"/>
        <rFont val="Calibri"/>
        <family val="2"/>
        <scheme val="minor"/>
      </rPr>
      <t xml:space="preserve"> by </t>
    </r>
    <r>
      <rPr>
        <b/>
        <sz val="12"/>
        <color rgb="FF00B050"/>
        <rFont val="Calibri"/>
        <family val="2"/>
        <scheme val="minor"/>
      </rPr>
      <t>6.57%</t>
    </r>
    <r>
      <rPr>
        <b/>
        <sz val="12"/>
        <color theme="1"/>
        <rFont val="Calibri"/>
        <family val="2"/>
        <scheme val="minor"/>
      </rPr>
      <t xml:space="preserve">, </t>
    </r>
    <r>
      <rPr>
        <b/>
        <sz val="12"/>
        <color rgb="FF00B0F0"/>
        <rFont val="Calibri"/>
        <family val="2"/>
        <scheme val="minor"/>
      </rPr>
      <t>Health</t>
    </r>
    <r>
      <rPr>
        <b/>
        <sz val="12"/>
        <color theme="1"/>
        <rFont val="Calibri"/>
        <family val="2"/>
        <scheme val="minor"/>
      </rPr>
      <t xml:space="preserve"> by </t>
    </r>
    <r>
      <rPr>
        <b/>
        <sz val="12"/>
        <color rgb="FF00B050"/>
        <rFont val="Calibri"/>
        <family val="2"/>
        <scheme val="minor"/>
      </rPr>
      <t>4.84%</t>
    </r>
    <r>
      <rPr>
        <b/>
        <sz val="12"/>
        <color theme="1"/>
        <rFont val="Calibri"/>
        <family val="2"/>
        <scheme val="minor"/>
      </rPr>
      <t xml:space="preserve">, and </t>
    </r>
    <r>
      <rPr>
        <b/>
        <sz val="12"/>
        <color rgb="FF00B0F0"/>
        <rFont val="Calibri"/>
        <family val="2"/>
        <scheme val="minor"/>
      </rPr>
      <t xml:space="preserve">Fuel &amp; Light </t>
    </r>
    <r>
      <rPr>
        <b/>
        <sz val="12"/>
        <color theme="1"/>
        <rFont val="Calibri"/>
        <family val="2"/>
        <scheme val="minor"/>
      </rPr>
      <t xml:space="preserve">by </t>
    </r>
    <r>
      <rPr>
        <b/>
        <sz val="12"/>
        <color rgb="FF00B050"/>
        <rFont val="Calibri"/>
        <family val="2"/>
        <scheme val="minor"/>
      </rPr>
      <t>2.24%</t>
    </r>
    <r>
      <rPr>
        <b/>
        <sz val="12"/>
        <color theme="1"/>
        <rFont val="Calibri"/>
        <family val="2"/>
        <scheme val="minor"/>
      </rPr>
      <t>. The largest increases</t>
    </r>
  </si>
  <si>
    <r>
      <rPr>
        <b/>
        <sz val="12"/>
        <color rgb="FF00B050"/>
        <rFont val="Calibri"/>
        <family val="2"/>
        <scheme val="minor"/>
      </rPr>
      <t>4.06%</t>
    </r>
    <r>
      <rPr>
        <b/>
        <sz val="12"/>
        <color theme="1"/>
        <rFont val="Calibri"/>
        <family val="2"/>
        <scheme val="minor"/>
      </rPr>
      <t>.</t>
    </r>
    <r>
      <rPr>
        <b/>
        <sz val="12"/>
        <color rgb="FF00B0F0"/>
        <rFont val="Calibri"/>
        <family val="2"/>
        <scheme val="minor"/>
      </rPr>
      <t xml:space="preserve">Fuel &amp; Light </t>
    </r>
    <r>
      <rPr>
        <b/>
        <sz val="12"/>
        <color theme="1"/>
        <rFont val="Calibri"/>
        <family val="2"/>
        <scheme val="minor"/>
      </rPr>
      <t xml:space="preserve">saw a slight decrease of </t>
    </r>
    <r>
      <rPr>
        <b/>
        <sz val="12"/>
        <color rgb="FF00B050"/>
        <rFont val="Calibri"/>
        <family val="2"/>
        <scheme val="minor"/>
      </rPr>
      <t>-0.13%</t>
    </r>
    <r>
      <rPr>
        <b/>
        <sz val="12"/>
        <color theme="1"/>
        <rFont val="Calibri"/>
        <family val="2"/>
        <scheme val="minor"/>
      </rPr>
      <t xml:space="preserve">. These results indicate that, in </t>
    </r>
    <r>
      <rPr>
        <b/>
        <sz val="12"/>
        <color rgb="FFFF0000"/>
        <rFont val="Calibri"/>
        <family val="2"/>
        <scheme val="minor"/>
      </rPr>
      <t xml:space="preserve">Rural </t>
    </r>
    <r>
      <rPr>
        <b/>
        <sz val="12"/>
        <color theme="1"/>
        <rFont val="Calibri"/>
        <family val="2"/>
        <scheme val="minor"/>
      </rPr>
      <t>areas,</t>
    </r>
  </si>
  <si>
    <r>
      <t xml:space="preserve">demand, while </t>
    </r>
    <r>
      <rPr>
        <b/>
        <sz val="12"/>
        <color rgb="FF002060"/>
        <rFont val="Calibri"/>
        <family val="2"/>
        <scheme val="minor"/>
      </rPr>
      <t>fuel</t>
    </r>
    <r>
      <rPr>
        <b/>
        <sz val="12"/>
        <color theme="1"/>
        <rFont val="Calibri"/>
        <family val="2"/>
        <scheme val="minor"/>
      </rPr>
      <t xml:space="preserve"> inflation slightly decreased possibly because of movement restrictions and lower consumption during the pandemic."</t>
    </r>
  </si>
  <si>
    <r>
      <t xml:space="preserve">This indicates that, in </t>
    </r>
    <r>
      <rPr>
        <b/>
        <sz val="12"/>
        <color rgb="FFFF0000"/>
        <rFont val="Calibri"/>
        <family val="2"/>
        <scheme val="minor"/>
      </rPr>
      <t xml:space="preserve">Urban </t>
    </r>
    <r>
      <rPr>
        <b/>
        <sz val="12"/>
        <color theme="1"/>
        <rFont val="Calibri"/>
        <family val="2"/>
        <scheme val="minor"/>
      </rPr>
      <t xml:space="preserve">areas, almost all major categories experienced significant inflation after </t>
    </r>
    <r>
      <rPr>
        <b/>
        <sz val="12"/>
        <color rgb="FFFF0000"/>
        <rFont val="Calibri"/>
        <family val="2"/>
        <scheme val="minor"/>
      </rPr>
      <t>COVID - 19</t>
    </r>
    <r>
      <rPr>
        <b/>
        <sz val="12"/>
        <color theme="1"/>
        <rFont val="Calibri"/>
        <family val="2"/>
        <scheme val="minor"/>
      </rPr>
      <t xml:space="preserve">. </t>
    </r>
  </si>
  <si>
    <r>
      <t xml:space="preserve">The rise in </t>
    </r>
    <r>
      <rPr>
        <b/>
        <sz val="12"/>
        <color rgb="FF00B050"/>
        <rFont val="Calibri"/>
        <family val="2"/>
        <scheme val="minor"/>
      </rPr>
      <t xml:space="preserve">Miscellaneous and Food &amp; Beverages </t>
    </r>
    <r>
      <rPr>
        <b/>
        <sz val="12"/>
        <color theme="1"/>
        <rFont val="Calibri"/>
        <family val="2"/>
        <scheme val="minor"/>
      </rPr>
      <t xml:space="preserve">suggests a strong impact on non-essential and essential goods due to </t>
    </r>
  </si>
  <si>
    <r>
      <t xml:space="preserve">were seen in </t>
    </r>
    <r>
      <rPr>
        <b/>
        <sz val="12"/>
        <color rgb="FF00B050"/>
        <rFont val="Calibri"/>
        <family val="2"/>
        <scheme val="minor"/>
      </rPr>
      <t>Food &amp; Beverages and Miscellaneous</t>
    </r>
    <r>
      <rPr>
        <b/>
        <sz val="12"/>
        <color theme="1"/>
        <rFont val="Calibri"/>
        <family val="2"/>
        <scheme val="minor"/>
      </rPr>
      <t xml:space="preserve"> categories, highlighting significant inflation in both </t>
    </r>
  </si>
  <si>
    <r>
      <t xml:space="preserve">essential and non- essential goods due to pandemic - related disruptions. </t>
    </r>
    <r>
      <rPr>
        <b/>
        <sz val="12"/>
        <color rgb="FF00B050"/>
        <rFont val="Calibri"/>
        <family val="2"/>
        <scheme val="minor"/>
      </rPr>
      <t>Health</t>
    </r>
    <r>
      <rPr>
        <b/>
        <sz val="12"/>
        <color theme="1"/>
        <rFont val="Calibri"/>
        <family val="2"/>
        <scheme val="minor"/>
      </rPr>
      <t xml:space="preserve"> also showed a notable rise,</t>
    </r>
  </si>
  <si>
    <r>
      <rPr>
        <b/>
        <sz val="12"/>
        <color rgb="FF00B050"/>
        <rFont val="Calibri"/>
        <family val="2"/>
        <scheme val="minor"/>
      </rPr>
      <t>essential goods and healthcare</t>
    </r>
    <r>
      <rPr>
        <b/>
        <sz val="12"/>
        <color theme="1"/>
        <rFont val="Calibri"/>
        <family val="2"/>
        <scheme val="minor"/>
      </rPr>
      <t xml:space="preserve"> costs rise after </t>
    </r>
    <r>
      <rPr>
        <b/>
        <sz val="12"/>
        <color rgb="FFFF0000"/>
        <rFont val="Calibri"/>
        <family val="2"/>
        <scheme val="minor"/>
      </rPr>
      <t>COVID -19</t>
    </r>
    <r>
      <rPr>
        <b/>
        <sz val="12"/>
        <color theme="1"/>
        <rFont val="Calibri"/>
        <family val="2"/>
        <scheme val="minor"/>
      </rPr>
      <t xml:space="preserve">, likely due to supply disruptions and higher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</si>
</sst>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292A31"/>
      <name val="Arial"/>
      <family val="2"/>
    </font>
    <font>
      <b/>
      <sz val="14"/>
      <color theme="1"/>
      <name val="Calibri"/>
      <family val="2"/>
      <scheme val="minor"/>
    </font>
    <font>
      <sz val="7"/>
      <color rgb="FF292A3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theme="7" tint="-0.249977111117893"/>
      <name val="Arial"/>
      <family val="2"/>
    </font>
    <font>
      <b/>
      <sz val="10"/>
      <color theme="8" tint="-0.249977111117893"/>
      <name val="Arial"/>
      <family val="2"/>
    </font>
    <font>
      <b/>
      <sz val="10"/>
      <color rgb="FF00B050"/>
      <name val="Arial"/>
      <family val="2"/>
    </font>
    <font>
      <b/>
      <sz val="10"/>
      <color rgb="FF002060"/>
      <name val="Arial"/>
      <family val="2"/>
    </font>
    <font>
      <b/>
      <i/>
      <sz val="12"/>
      <color theme="4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0F0F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3" borderId="0" xfId="0" applyFill="1"/>
    <xf numFmtId="9" fontId="0" fillId="0" borderId="0" xfId="1" applyFont="1"/>
    <xf numFmtId="10" fontId="0" fillId="0" borderId="0" xfId="0" applyNumberFormat="1"/>
    <xf numFmtId="2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4" borderId="0" xfId="0" applyFont="1" applyFill="1" applyAlignment="1">
      <alignment horizontal="center" vertical="center" wrapText="1"/>
    </xf>
    <xf numFmtId="0" fontId="24" fillId="0" borderId="0" xfId="0" applyFont="1"/>
    <xf numFmtId="1" fontId="0" fillId="0" borderId="0" xfId="1" applyNumberFormat="1" applyFont="1"/>
    <xf numFmtId="1" fontId="0" fillId="0" borderId="0" xfId="0" applyNumberFormat="1"/>
    <xf numFmtId="0" fontId="25" fillId="0" borderId="0" xfId="0" applyFont="1"/>
    <xf numFmtId="0" fontId="16" fillId="0" borderId="0" xfId="0" applyFont="1" applyAlignment="1">
      <alignment horizontal="left" indent="1"/>
    </xf>
    <xf numFmtId="10" fontId="16" fillId="0" borderId="0" xfId="0" applyNumberFormat="1" applyFont="1"/>
    <xf numFmtId="2" fontId="0" fillId="0" borderId="0" xfId="1" applyNumberFormat="1" applyFont="1"/>
    <xf numFmtId="10" fontId="0" fillId="0" borderId="0" xfId="1" applyNumberFormat="1" applyFont="1"/>
    <xf numFmtId="0" fontId="26" fillId="0" borderId="0" xfId="0" applyFont="1"/>
    <xf numFmtId="0" fontId="27" fillId="0" borderId="0" xfId="0" applyFont="1"/>
    <xf numFmtId="0" fontId="0" fillId="0" borderId="0" xfId="0" applyAlignment="1">
      <alignment horizontal="left" indent="2"/>
    </xf>
    <xf numFmtId="0" fontId="16" fillId="33" borderId="0" xfId="0" applyFont="1" applyFill="1"/>
    <xf numFmtId="0" fontId="28" fillId="0" borderId="0" xfId="0" applyFont="1"/>
    <xf numFmtId="0" fontId="29" fillId="0" borderId="0" xfId="0" applyFont="1"/>
    <xf numFmtId="0" fontId="14" fillId="0" borderId="0" xfId="0" applyFont="1"/>
    <xf numFmtId="9" fontId="30" fillId="0" borderId="0" xfId="1" applyFont="1"/>
    <xf numFmtId="9" fontId="22" fillId="0" borderId="0" xfId="1" applyFont="1"/>
    <xf numFmtId="0" fontId="31" fillId="34" borderId="0" xfId="0" applyFont="1" applyFill="1" applyAlignment="1">
      <alignment horizontal="center" vertical="center" wrapText="1"/>
    </xf>
    <xf numFmtId="0" fontId="32" fillId="34" borderId="0" xfId="0" applyFont="1" applyFill="1" applyAlignment="1">
      <alignment horizontal="center" vertical="center" wrapText="1"/>
    </xf>
    <xf numFmtId="0" fontId="33" fillId="34" borderId="0" xfId="0" applyFont="1" applyFill="1" applyAlignment="1">
      <alignment horizontal="center" vertical="center" wrapText="1"/>
    </xf>
    <xf numFmtId="0" fontId="34" fillId="34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left" indent="1"/>
    </xf>
    <xf numFmtId="0" fontId="36" fillId="0" borderId="0" xfId="0" applyFont="1"/>
    <xf numFmtId="2" fontId="16" fillId="35" borderId="10" xfId="0" applyNumberFormat="1" applyFont="1" applyFill="1" applyBorder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2" fontId="22" fillId="0" borderId="0" xfId="1" applyNumberFormat="1" applyFont="1"/>
    <xf numFmtId="2" fontId="22" fillId="0" borderId="0" xfId="0" applyNumberFormat="1" applyFont="1"/>
    <xf numFmtId="9" fontId="21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(CS)(NEW).xlsx]Broader Contribution!PivotTable8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287688237367121E-2"/>
          <c:y val="0.3993606249455785"/>
          <c:w val="0.86797216480204509"/>
          <c:h val="0.51375153935142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'Broader Contribution'!$A$6</c:f>
              <c:strCache>
                <c:ptCount val="1"/>
                <c:pt idx="0">
                  <c:v>Sum of Food and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'Broader Contribution'!$A$7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Contribution'!$A$7</c:f>
              <c:numCache>
                <c:formatCode>General</c:formatCode>
                <c:ptCount val="1"/>
                <c:pt idx="0">
                  <c:v>176.8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4-4D9E-B6A7-103F5BEC7BD9}"/>
            </c:ext>
          </c:extLst>
        </c:ser>
        <c:ser>
          <c:idx val="1"/>
          <c:order val="1"/>
          <c:tx>
            <c:strRef>
              <c:f>'Broader Contribution'!$B$6</c:f>
              <c:strCache>
                <c:ptCount val="1"/>
                <c:pt idx="0">
                  <c:v>Sum of Pan, tobacco and intoxicants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'Broader Contribution'!$A$7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Contribution'!$B$7</c:f>
              <c:numCache>
                <c:formatCode>General</c:formatCode>
                <c:ptCount val="1"/>
                <c:pt idx="0">
                  <c:v>199.9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4-4D9E-B6A7-103F5BEC7BD9}"/>
            </c:ext>
          </c:extLst>
        </c:ser>
        <c:ser>
          <c:idx val="2"/>
          <c:order val="2"/>
          <c:tx>
            <c:strRef>
              <c:f>'Broader Contribution'!$C$6</c:f>
              <c:strCache>
                <c:ptCount val="1"/>
                <c:pt idx="0">
                  <c:v>Sum of Clothing and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'Broader Contribution'!$A$7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Contribution'!$C$7</c:f>
              <c:numCache>
                <c:formatCode>General</c:formatCode>
                <c:ptCount val="1"/>
                <c:pt idx="0">
                  <c:v>190.8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4-4D9E-B6A7-103F5BEC7BD9}"/>
            </c:ext>
          </c:extLst>
        </c:ser>
        <c:ser>
          <c:idx val="3"/>
          <c:order val="3"/>
          <c:tx>
            <c:strRef>
              <c:f>'Broader Contribution'!$D$6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'Broader Contribution'!$A$7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Contribution'!$D$7</c:f>
              <c:numCache>
                <c:formatCode>General</c:formatCode>
                <c:ptCount val="1"/>
                <c:pt idx="0">
                  <c:v>182.5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34-4D9E-B6A7-103F5BEC7BD9}"/>
            </c:ext>
          </c:extLst>
        </c:ser>
        <c:ser>
          <c:idx val="4"/>
          <c:order val="4"/>
          <c:tx>
            <c:strRef>
              <c:f>'Broader Contribution'!$E$6</c:f>
              <c:strCache>
                <c:ptCount val="1"/>
                <c:pt idx="0">
                  <c:v>Sum of Miscellaneous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'Broader Contribution'!$A$7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Contribution'!$E$7</c:f>
              <c:numCache>
                <c:formatCode>General</c:formatCode>
                <c:ptCount val="1"/>
                <c:pt idx="0">
                  <c:v>179.5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34-4D9E-B6A7-103F5BEC7BD9}"/>
            </c:ext>
          </c:extLst>
        </c:ser>
        <c:ser>
          <c:idx val="5"/>
          <c:order val="5"/>
          <c:tx>
            <c:strRef>
              <c:f>'Broader Contribution'!$F$6</c:f>
              <c:strCache>
                <c:ptCount val="1"/>
                <c:pt idx="0">
                  <c:v>Sum of Housing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'Broader Contribution'!$A$7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34-4D9E-B6A7-103F5BEC7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507391"/>
        <c:axId val="551344079"/>
      </c:barChart>
      <c:catAx>
        <c:axId val="1418507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1344079"/>
        <c:crosses val="autoZero"/>
        <c:auto val="1"/>
        <c:lblAlgn val="ctr"/>
        <c:lblOffset val="100"/>
        <c:noMultiLvlLbl val="0"/>
      </c:catAx>
      <c:valAx>
        <c:axId val="55134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(CS)(NEW).xlsx]Broader Contribution!PivotTable9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'Broader Contribution'!$A$15</c:f>
              <c:strCache>
                <c:ptCount val="1"/>
                <c:pt idx="0">
                  <c:v>Sum of Food and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'Broader Contribution'!$A$16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Contribution'!$A$16</c:f>
              <c:numCache>
                <c:formatCode>General</c:formatCode>
                <c:ptCount val="1"/>
                <c:pt idx="0">
                  <c:v>183.1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5-4F73-82E0-BB865CCCA861}"/>
            </c:ext>
          </c:extLst>
        </c:ser>
        <c:ser>
          <c:idx val="1"/>
          <c:order val="1"/>
          <c:tx>
            <c:strRef>
              <c:f>'Broader Contribution'!$B$15</c:f>
              <c:strCache>
                <c:ptCount val="1"/>
                <c:pt idx="0">
                  <c:v>Sum of Pan, tobacco and intoxicants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'Broader Contribution'!$A$16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Contribution'!$B$16</c:f>
              <c:numCache>
                <c:formatCode>General</c:formatCode>
                <c:ptCount val="1"/>
                <c:pt idx="0">
                  <c:v>204.2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5-4F73-82E0-BB865CCCA861}"/>
            </c:ext>
          </c:extLst>
        </c:ser>
        <c:ser>
          <c:idx val="2"/>
          <c:order val="2"/>
          <c:tx>
            <c:strRef>
              <c:f>'Broader Contribution'!$C$15</c:f>
              <c:strCache>
                <c:ptCount val="1"/>
                <c:pt idx="0">
                  <c:v>Sum of Clothing and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'Broader Contribution'!$A$16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Contribution'!$C$16</c:f>
              <c:numCache>
                <c:formatCode>General</c:formatCode>
                <c:ptCount val="1"/>
                <c:pt idx="0">
                  <c:v>179.3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5-4F73-82E0-BB865CCCA861}"/>
            </c:ext>
          </c:extLst>
        </c:ser>
        <c:ser>
          <c:idx val="3"/>
          <c:order val="3"/>
          <c:tx>
            <c:strRef>
              <c:f>'Broader Contribution'!$D$15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'Broader Contribution'!$A$16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Contribution'!$D$16</c:f>
              <c:numCache>
                <c:formatCode>General</c:formatCode>
                <c:ptCount val="1"/>
                <c:pt idx="0">
                  <c:v>183.4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B5-4F73-82E0-BB865CCCA861}"/>
            </c:ext>
          </c:extLst>
        </c:ser>
        <c:ser>
          <c:idx val="4"/>
          <c:order val="4"/>
          <c:tx>
            <c:strRef>
              <c:f>'Broader Contribution'!$E$15</c:f>
              <c:strCache>
                <c:ptCount val="1"/>
                <c:pt idx="0">
                  <c:v>Sum of Miscellaneous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'Broader Contribution'!$A$16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Contribution'!$E$16</c:f>
              <c:numCache>
                <c:formatCode>General</c:formatCode>
                <c:ptCount val="1"/>
                <c:pt idx="0">
                  <c:v>171.6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B5-4F73-82E0-BB865CCCA861}"/>
            </c:ext>
          </c:extLst>
        </c:ser>
        <c:ser>
          <c:idx val="5"/>
          <c:order val="5"/>
          <c:tx>
            <c:strRef>
              <c:f>'Broader Contribution'!$F$15</c:f>
              <c:strCache>
                <c:ptCount val="1"/>
                <c:pt idx="0">
                  <c:v>Sum of Housing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'Broader Contribution'!$A$16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Contribution'!$F$16</c:f>
              <c:numCache>
                <c:formatCode>General</c:formatCode>
                <c:ptCount val="1"/>
                <c:pt idx="0">
                  <c:v>175.6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B5-4F73-82E0-BB865CCCA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556111"/>
        <c:axId val="1354932879"/>
      </c:barChart>
      <c:catAx>
        <c:axId val="1418556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4932879"/>
        <c:crosses val="autoZero"/>
        <c:auto val="1"/>
        <c:lblAlgn val="ctr"/>
        <c:lblOffset val="100"/>
        <c:noMultiLvlLbl val="0"/>
      </c:catAx>
      <c:valAx>
        <c:axId val="135493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5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(CS)(NEW).xlsx]Broader Contribution!PivotTable3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'Broader Contribution'!$A$24</c:f>
              <c:strCache>
                <c:ptCount val="1"/>
                <c:pt idx="0">
                  <c:v>Sum of Food and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'Broader Contribution'!$A$25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Contribution'!$A$25</c:f>
              <c:numCache>
                <c:formatCode>General</c:formatCode>
                <c:ptCount val="1"/>
                <c:pt idx="0">
                  <c:v>179.1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6-4975-A7ED-53E11F6FD62F}"/>
            </c:ext>
          </c:extLst>
        </c:ser>
        <c:ser>
          <c:idx val="1"/>
          <c:order val="1"/>
          <c:tx>
            <c:strRef>
              <c:f>'Broader Contribution'!$B$24</c:f>
              <c:strCache>
                <c:ptCount val="1"/>
                <c:pt idx="0">
                  <c:v>Sum of Pan, tobacco and intoxicants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'Broader Contribution'!$A$25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Contribution'!$B$25</c:f>
              <c:numCache>
                <c:formatCode>General</c:formatCode>
                <c:ptCount val="1"/>
                <c:pt idx="0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6-4975-A7ED-53E11F6FD62F}"/>
            </c:ext>
          </c:extLst>
        </c:ser>
        <c:ser>
          <c:idx val="2"/>
          <c:order val="2"/>
          <c:tx>
            <c:strRef>
              <c:f>'Broader Contribution'!$C$24</c:f>
              <c:strCache>
                <c:ptCount val="1"/>
                <c:pt idx="0">
                  <c:v>Sum of Clothing and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'Broader Contribution'!$A$25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Contribution'!$C$25</c:f>
              <c:numCache>
                <c:formatCode>General</c:formatCode>
                <c:ptCount val="1"/>
                <c:pt idx="0">
                  <c:v>186.2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56-4975-A7ED-53E11F6FD62F}"/>
            </c:ext>
          </c:extLst>
        </c:ser>
        <c:ser>
          <c:idx val="3"/>
          <c:order val="3"/>
          <c:tx>
            <c:strRef>
              <c:f>'Broader Contribution'!$D$24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'Broader Contribution'!$A$25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Contribution'!$D$25</c:f>
              <c:numCache>
                <c:formatCode>General</c:formatCode>
                <c:ptCount val="1"/>
                <c:pt idx="0">
                  <c:v>182.8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56-4975-A7ED-53E11F6FD62F}"/>
            </c:ext>
          </c:extLst>
        </c:ser>
        <c:ser>
          <c:idx val="4"/>
          <c:order val="4"/>
          <c:tx>
            <c:strRef>
              <c:f>'Broader Contribution'!$E$24</c:f>
              <c:strCache>
                <c:ptCount val="1"/>
                <c:pt idx="0">
                  <c:v>Sum of Miscellaneous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'Broader Contribution'!$A$25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Contribution'!$E$25</c:f>
              <c:numCache>
                <c:formatCode>General</c:formatCode>
                <c:ptCount val="1"/>
                <c:pt idx="0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56-4975-A7ED-53E11F6FD62F}"/>
            </c:ext>
          </c:extLst>
        </c:ser>
        <c:ser>
          <c:idx val="5"/>
          <c:order val="5"/>
          <c:tx>
            <c:strRef>
              <c:f>'Broader Contribution'!$F$24</c:f>
              <c:strCache>
                <c:ptCount val="1"/>
                <c:pt idx="0">
                  <c:v>Sum of Housing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'Broader Contribution'!$A$25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'Broader Contribution'!$F$25</c:f>
              <c:numCache>
                <c:formatCode>General</c:formatCode>
                <c:ptCount val="1"/>
                <c:pt idx="0">
                  <c:v>175.6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56-4975-A7ED-53E11F6FD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432655"/>
        <c:axId val="1354809999"/>
      </c:barChart>
      <c:catAx>
        <c:axId val="1354432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4809999"/>
        <c:crosses val="autoZero"/>
        <c:auto val="1"/>
        <c:lblAlgn val="ctr"/>
        <c:lblOffset val="100"/>
        <c:noMultiLvlLbl val="0"/>
      </c:catAx>
      <c:valAx>
        <c:axId val="135480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43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[All_India_Index_Upto_April23 (CS)(NEW).xlsx]Y-O-Y CPI Increase!PivotTable4</c:name>
    <c:fmtId val="51"/>
  </c:pivotSource>
  <c:chart>
    <c:autoTitleDeleted val="1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'Y-O-Y CPI Increase'!$B$2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'Y-O-Y CPI Increase'!$A$3:$A$24</c:f>
              <c:multiLvlStrCache>
                <c:ptCount val="14"/>
                <c:lvl>
                  <c:pt idx="0">
                    <c:v>January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December</c:v>
                  </c:pt>
                  <c:pt idx="4">
                    <c:v>January</c:v>
                  </c:pt>
                  <c:pt idx="5">
                    <c:v>December</c:v>
                  </c:pt>
                  <c:pt idx="6">
                    <c:v>January</c:v>
                  </c:pt>
                  <c:pt idx="7">
                    <c:v>December</c:v>
                  </c:pt>
                  <c:pt idx="8">
                    <c:v>January</c:v>
                  </c:pt>
                  <c:pt idx="9">
                    <c:v>December</c:v>
                  </c:pt>
                  <c:pt idx="10">
                    <c:v>January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May</c:v>
                  </c:pt>
                </c:lvl>
                <c:lvl>
                  <c:pt idx="0">
                    <c:v>2017</c:v>
                  </c:pt>
                  <c:pt idx="2">
                    <c:v>2018</c:v>
                  </c:pt>
                  <c:pt idx="4">
                    <c:v>2019</c:v>
                  </c:pt>
                  <c:pt idx="6">
                    <c:v>2020</c:v>
                  </c:pt>
                  <c:pt idx="8">
                    <c:v>2021</c:v>
                  </c:pt>
                  <c:pt idx="10">
                    <c:v>2022</c:v>
                  </c:pt>
                  <c:pt idx="12">
                    <c:v>2023</c:v>
                  </c:pt>
                </c:lvl>
                <c:lvl>
                  <c:pt idx="0">
                    <c:v>Rural+Urban</c:v>
                  </c:pt>
                </c:lvl>
              </c:multiLvlStrCache>
            </c:multiLvlStrRef>
          </c:cat>
          <c:val>
            <c:numRef>
              <c:f>'Y-O-Y CPI Increase'!$B$3:$B$24</c:f>
              <c:numCache>
                <c:formatCode>0.00%</c:formatCode>
                <c:ptCount val="14"/>
                <c:pt idx="1">
                  <c:v>5.295471987720627E-2</c:v>
                </c:pt>
                <c:pt idx="3">
                  <c:v>2.3374726077428697E-2</c:v>
                </c:pt>
                <c:pt idx="5">
                  <c:v>7.7363896848137617E-2</c:v>
                </c:pt>
                <c:pt idx="7">
                  <c:v>5.7922769640479481E-2</c:v>
                </c:pt>
                <c:pt idx="9">
                  <c:v>5.657978385251098E-2</c:v>
                </c:pt>
                <c:pt idx="11">
                  <c:v>6.0350030175015092E-2</c:v>
                </c:pt>
                <c:pt idx="13">
                  <c:v>1.4730878186968806E-2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B-4018-8826-DDC3EB878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533424"/>
        <c:axId val="654571248"/>
      </c:lineChart>
      <c:catAx>
        <c:axId val="52153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571248"/>
        <c:crosses val="autoZero"/>
        <c:auto val="1"/>
        <c:lblAlgn val="ctr"/>
        <c:lblOffset val="100"/>
        <c:noMultiLvlLbl val="0"/>
      </c:catAx>
      <c:valAx>
        <c:axId val="6545712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3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(CS)(NEW).xlsx]Oil Inflation!PivotTable1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'Oil Inflation'!$B$4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'Oil Inflation'!$A$5:$A$36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Inflation'!$B$5:$B$36</c:f>
              <c:numCache>
                <c:formatCode>0.00%</c:formatCode>
                <c:ptCount val="29"/>
                <c:pt idx="1">
                  <c:v>2.3194168323392973E-2</c:v>
                </c:pt>
                <c:pt idx="2">
                  <c:v>1.0362694300518097E-2</c:v>
                </c:pt>
                <c:pt idx="3">
                  <c:v>0</c:v>
                </c:pt>
                <c:pt idx="4">
                  <c:v>3.6538461538461464E-2</c:v>
                </c:pt>
                <c:pt idx="5">
                  <c:v>2.4737167594310805E-3</c:v>
                </c:pt>
                <c:pt idx="6">
                  <c:v>2.4676125848242178E-3</c:v>
                </c:pt>
                <c:pt idx="7">
                  <c:v>3.6923076923076575E-3</c:v>
                </c:pt>
                <c:pt idx="8">
                  <c:v>3.6787247087675923E-3</c:v>
                </c:pt>
                <c:pt idx="9">
                  <c:v>1.0995723885155843E-2</c:v>
                </c:pt>
                <c:pt idx="10">
                  <c:v>-1.2084592145014418E-3</c:v>
                </c:pt>
                <c:pt idx="11">
                  <c:v>1.8148820326677733E-3</c:v>
                </c:pt>
                <c:pt idx="13">
                  <c:v>9.6501809408926064E-3</c:v>
                </c:pt>
                <c:pt idx="14">
                  <c:v>8.9605734767025085E-3</c:v>
                </c:pt>
                <c:pt idx="15">
                  <c:v>2.6050917702782745E-2</c:v>
                </c:pt>
                <c:pt idx="16">
                  <c:v>1.1540680900173109E-2</c:v>
                </c:pt>
                <c:pt idx="17">
                  <c:v>7.9863091842554308E-3</c:v>
                </c:pt>
                <c:pt idx="18">
                  <c:v>1.6411997736276208E-2</c:v>
                </c:pt>
                <c:pt idx="19">
                  <c:v>-2.7839643652561247E-3</c:v>
                </c:pt>
                <c:pt idx="20">
                  <c:v>3.3500837520937707E-3</c:v>
                </c:pt>
                <c:pt idx="21">
                  <c:v>6.1213132999444787E-3</c:v>
                </c:pt>
                <c:pt idx="22">
                  <c:v>6.0840707964601448E-3</c:v>
                </c:pt>
                <c:pt idx="23">
                  <c:v>4.9477735019241654E-3</c:v>
                </c:pt>
                <c:pt idx="25">
                  <c:v>-8.7336244541484417E-3</c:v>
                </c:pt>
                <c:pt idx="26">
                  <c:v>-1.1013215859030211E-3</c:v>
                </c:pt>
                <c:pt idx="27">
                  <c:v>5.5126791620724541E-4</c:v>
                </c:pt>
                <c:pt idx="28">
                  <c:v>5.5096418732782371E-3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9-438C-BC97-17E36E4BA09E}"/>
            </c:ext>
          </c:extLst>
        </c:ser>
        <c:ser>
          <c:idx val="1"/>
          <c:order val="1"/>
          <c:tx>
            <c:strRef>
              <c:f>'Oil Inflation'!$C$4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multiLvlStrRef>
              <c:f>'Oil Inflation'!$A$5:$A$36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Inflation'!$C$5:$C$36</c:f>
              <c:numCache>
                <c:formatCode>0.00%</c:formatCode>
                <c:ptCount val="29"/>
                <c:pt idx="1">
                  <c:v>1.8305084745762635E-2</c:v>
                </c:pt>
                <c:pt idx="2">
                  <c:v>7.3235685752331744E-3</c:v>
                </c:pt>
                <c:pt idx="3">
                  <c:v>2.6437541308656789E-3</c:v>
                </c:pt>
                <c:pt idx="4">
                  <c:v>9.8879367172050106E-3</c:v>
                </c:pt>
                <c:pt idx="5">
                  <c:v>6.5274151436031337E-3</c:v>
                </c:pt>
                <c:pt idx="6">
                  <c:v>1.8806744487678377E-2</c:v>
                </c:pt>
                <c:pt idx="7">
                  <c:v>3.8192234245703013E-3</c:v>
                </c:pt>
                <c:pt idx="8">
                  <c:v>6.3411540900458301E-4</c:v>
                </c:pt>
                <c:pt idx="9">
                  <c:v>1.0773130544993591E-2</c:v>
                </c:pt>
                <c:pt idx="10">
                  <c:v>-3.7617554858933814E-3</c:v>
                </c:pt>
                <c:pt idx="11">
                  <c:v>7.551919446192502E-3</c:v>
                </c:pt>
                <c:pt idx="13">
                  <c:v>2.4875621890545849E-3</c:v>
                </c:pt>
                <c:pt idx="14">
                  <c:v>4.9627791563276145E-3</c:v>
                </c:pt>
                <c:pt idx="15">
                  <c:v>2.5925925925925856E-2</c:v>
                </c:pt>
                <c:pt idx="16">
                  <c:v>5.4151624548736807E-3</c:v>
                </c:pt>
                <c:pt idx="17">
                  <c:v>-9.5751047277079261E-3</c:v>
                </c:pt>
                <c:pt idx="18">
                  <c:v>4.8338368580061108E-3</c:v>
                </c:pt>
                <c:pt idx="19">
                  <c:v>1.8039687312085564E-3</c:v>
                </c:pt>
                <c:pt idx="20">
                  <c:v>1.8007202881153144E-3</c:v>
                </c:pt>
                <c:pt idx="21">
                  <c:v>2.9958058717795086E-3</c:v>
                </c:pt>
                <c:pt idx="22">
                  <c:v>5.9737156511346663E-4</c:v>
                </c:pt>
                <c:pt idx="23">
                  <c:v>1.7910447761194709E-3</c:v>
                </c:pt>
                <c:pt idx="25">
                  <c:v>4.756242568371055E-3</c:v>
                </c:pt>
                <c:pt idx="26">
                  <c:v>0</c:v>
                </c:pt>
                <c:pt idx="27">
                  <c:v>2.3668639053254772E-3</c:v>
                </c:pt>
                <c:pt idx="28">
                  <c:v>1.7709563164107611E-3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9-438C-BC97-17E36E4B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4406207"/>
        <c:axId val="551383919"/>
      </c:barChart>
      <c:lineChart>
        <c:grouping val="stacked"/>
        <c:varyColors val="0"/>
        <c:ser>
          <c:idx val="2"/>
          <c:order val="2"/>
          <c:tx>
            <c:strRef>
              <c:f>'Oil Inflation'!$D$4</c:f>
              <c:strCache>
                <c:ptCount val="1"/>
                <c:pt idx="0">
                  <c:v>Sum of 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'Oil Inflation'!$A$5:$A$36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Inflation'!$D$5:$D$36</c:f>
              <c:numCache>
                <c:formatCode>0.00%</c:formatCode>
                <c:ptCount val="29"/>
                <c:pt idx="1">
                  <c:v>-1.135646687697168E-2</c:v>
                </c:pt>
                <c:pt idx="2">
                  <c:v>0</c:v>
                </c:pt>
                <c:pt idx="3">
                  <c:v>5.7434588385450267E-3</c:v>
                </c:pt>
                <c:pt idx="4">
                  <c:v>2.2208121827411168E-2</c:v>
                </c:pt>
                <c:pt idx="5">
                  <c:v>6.2073246430788334E-3</c:v>
                </c:pt>
                <c:pt idx="6">
                  <c:v>6.7859346082664671E-3</c:v>
                </c:pt>
                <c:pt idx="7">
                  <c:v>2.4509803921568978E-3</c:v>
                </c:pt>
                <c:pt idx="8">
                  <c:v>2.4449877750611594E-3</c:v>
                </c:pt>
                <c:pt idx="9">
                  <c:v>1.4024390243902509E-2</c:v>
                </c:pt>
                <c:pt idx="10">
                  <c:v>7.8171978352374188E-3</c:v>
                </c:pt>
                <c:pt idx="11">
                  <c:v>-3.579952267303069E-3</c:v>
                </c:pt>
                <c:pt idx="13">
                  <c:v>1.8028846153845129E-3</c:v>
                </c:pt>
                <c:pt idx="14">
                  <c:v>1.199760047990402E-2</c:v>
                </c:pt>
                <c:pt idx="15">
                  <c:v>1.2448132780083124E-2</c:v>
                </c:pt>
                <c:pt idx="16">
                  <c:v>9.9531615925057878E-3</c:v>
                </c:pt>
                <c:pt idx="17">
                  <c:v>6.3768115942028653E-3</c:v>
                </c:pt>
                <c:pt idx="18">
                  <c:v>4.0322580645162278E-3</c:v>
                </c:pt>
                <c:pt idx="19">
                  <c:v>5.737234652897303E-3</c:v>
                </c:pt>
                <c:pt idx="20">
                  <c:v>6.2749572162007659E-3</c:v>
                </c:pt>
                <c:pt idx="21">
                  <c:v>8.5034013605442167E-3</c:v>
                </c:pt>
                <c:pt idx="22">
                  <c:v>-5.6211354693644919E-4</c:v>
                </c:pt>
                <c:pt idx="23">
                  <c:v>-3.9370078740158434E-3</c:v>
                </c:pt>
                <c:pt idx="25">
                  <c:v>1.1248593925758639E-3</c:v>
                </c:pt>
                <c:pt idx="26">
                  <c:v>0</c:v>
                </c:pt>
                <c:pt idx="27">
                  <c:v>4.4943820224719738E-3</c:v>
                </c:pt>
                <c:pt idx="28">
                  <c:v>5.5928411633109614E-3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9-438C-BC97-17E36E4B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406207"/>
        <c:axId val="551383919"/>
      </c:lineChart>
      <c:catAx>
        <c:axId val="128440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83919"/>
        <c:crosses val="autoZero"/>
        <c:auto val="1"/>
        <c:lblAlgn val="ctr"/>
        <c:lblOffset val="100"/>
        <c:noMultiLvlLbl val="0"/>
      </c:catAx>
      <c:valAx>
        <c:axId val="55138391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0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(CS)(NEW).xlsx]Oil Inflation!PivotTable3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'Oil Inflation'!$B$48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'Oil Inflation'!$A$49:$A$80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Inflation'!$B$49:$B$80</c:f>
              <c:numCache>
                <c:formatCode>0.00%</c:formatCode>
                <c:ptCount val="29"/>
                <c:pt idx="1">
                  <c:v>4.3386983904828473E-2</c:v>
                </c:pt>
                <c:pt idx="2">
                  <c:v>3.822937625754539E-2</c:v>
                </c:pt>
                <c:pt idx="3">
                  <c:v>6.4599483204130694E-4</c:v>
                </c:pt>
                <c:pt idx="4">
                  <c:v>3.8734667527436689E-3</c:v>
                </c:pt>
                <c:pt idx="5">
                  <c:v>3.8585209003215068E-3</c:v>
                </c:pt>
                <c:pt idx="6">
                  <c:v>1.0249839846252367E-2</c:v>
                </c:pt>
                <c:pt idx="7">
                  <c:v>1.9023462270133167E-2</c:v>
                </c:pt>
                <c:pt idx="8">
                  <c:v>6.2227753578109979E-4</c:v>
                </c:pt>
                <c:pt idx="9">
                  <c:v>8.7064676616914003E-3</c:v>
                </c:pt>
                <c:pt idx="10">
                  <c:v>-3.6991368680640837E-3</c:v>
                </c:pt>
                <c:pt idx="11">
                  <c:v>6.1881188118808369E-4</c:v>
                </c:pt>
                <c:pt idx="13">
                  <c:v>8.6633663366336988E-3</c:v>
                </c:pt>
                <c:pt idx="14">
                  <c:v>9.202453987730062E-3</c:v>
                </c:pt>
                <c:pt idx="15">
                  <c:v>3.64741641337386E-2</c:v>
                </c:pt>
                <c:pt idx="16">
                  <c:v>1.7595307917888565E-2</c:v>
                </c:pt>
                <c:pt idx="17">
                  <c:v>8.0691642651297153E-3</c:v>
                </c:pt>
                <c:pt idx="18">
                  <c:v>2.6300743281875323E-2</c:v>
                </c:pt>
                <c:pt idx="19">
                  <c:v>-6.1281337047353448E-3</c:v>
                </c:pt>
                <c:pt idx="20">
                  <c:v>4.4843049327353305E-3</c:v>
                </c:pt>
                <c:pt idx="21">
                  <c:v>4.4642857142857782E-3</c:v>
                </c:pt>
                <c:pt idx="22">
                  <c:v>1.6666666666667299E-3</c:v>
                </c:pt>
                <c:pt idx="23">
                  <c:v>1.6638935108152131E-3</c:v>
                </c:pt>
                <c:pt idx="25">
                  <c:v>1.4991671293725804E-2</c:v>
                </c:pt>
                <c:pt idx="26">
                  <c:v>-1.0940919037200057E-3</c:v>
                </c:pt>
                <c:pt idx="27">
                  <c:v>-2.7382256297918948E-3</c:v>
                </c:pt>
                <c:pt idx="28">
                  <c:v>7.1389346512905627E-3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7-460B-A48F-5EBC0F070FCD}"/>
            </c:ext>
          </c:extLst>
        </c:ser>
        <c:ser>
          <c:idx val="1"/>
          <c:order val="1"/>
          <c:tx>
            <c:strRef>
              <c:f>'Oil Inflation'!$C$48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'Oil Inflation'!$A$49:$A$80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Inflation'!$C$49:$C$80</c:f>
              <c:numCache>
                <c:formatCode>0.00%</c:formatCode>
                <c:ptCount val="29"/>
                <c:pt idx="1">
                  <c:v>2.6296566837107335E-2</c:v>
                </c:pt>
                <c:pt idx="2">
                  <c:v>8.5409252669038337E-3</c:v>
                </c:pt>
                <c:pt idx="3">
                  <c:v>2.8228652081863496E-3</c:v>
                </c:pt>
                <c:pt idx="4">
                  <c:v>2.0408163265306162E-2</c:v>
                </c:pt>
                <c:pt idx="5">
                  <c:v>1.7241379310344827E-2</c:v>
                </c:pt>
                <c:pt idx="6">
                  <c:v>1.3559322033898305E-2</c:v>
                </c:pt>
                <c:pt idx="7">
                  <c:v>6.020066889632145E-3</c:v>
                </c:pt>
                <c:pt idx="8">
                  <c:v>6.6489361702123874E-4</c:v>
                </c:pt>
                <c:pt idx="9">
                  <c:v>1.1295681063122847E-2</c:v>
                </c:pt>
                <c:pt idx="10">
                  <c:v>-6.5703022339027601E-3</c:v>
                </c:pt>
                <c:pt idx="11">
                  <c:v>3.968253968254119E-3</c:v>
                </c:pt>
                <c:pt idx="13">
                  <c:v>2.6195153896529516E-3</c:v>
                </c:pt>
                <c:pt idx="14">
                  <c:v>7.1848465055518902E-3</c:v>
                </c:pt>
                <c:pt idx="15">
                  <c:v>3.3073929961089647E-2</c:v>
                </c:pt>
                <c:pt idx="16">
                  <c:v>6.2774639045821913E-4</c:v>
                </c:pt>
                <c:pt idx="17">
                  <c:v>-1.3801756587202113E-2</c:v>
                </c:pt>
                <c:pt idx="18">
                  <c:v>1.2722646310433655E-3</c:v>
                </c:pt>
                <c:pt idx="19">
                  <c:v>1.9059720457432208E-3</c:v>
                </c:pt>
                <c:pt idx="20">
                  <c:v>3.1705770450221942E-3</c:v>
                </c:pt>
                <c:pt idx="21">
                  <c:v>3.7926675094818126E-3</c:v>
                </c:pt>
                <c:pt idx="22">
                  <c:v>6.2972292191432189E-4</c:v>
                </c:pt>
                <c:pt idx="23">
                  <c:v>3.1466331025802388E-3</c:v>
                </c:pt>
                <c:pt idx="25">
                  <c:v>1.8808777429467798E-3</c:v>
                </c:pt>
                <c:pt idx="26">
                  <c:v>0</c:v>
                </c:pt>
                <c:pt idx="27">
                  <c:v>1.877346683354086E-3</c:v>
                </c:pt>
                <c:pt idx="28">
                  <c:v>1.8738288569644683E-3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A7-460B-A48F-5EBC0F07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769743"/>
        <c:axId val="551423279"/>
      </c:barChart>
      <c:lineChart>
        <c:grouping val="stacked"/>
        <c:varyColors val="0"/>
        <c:ser>
          <c:idx val="2"/>
          <c:order val="2"/>
          <c:tx>
            <c:strRef>
              <c:f>'Oil Inflation'!$D$48</c:f>
              <c:strCache>
                <c:ptCount val="1"/>
                <c:pt idx="0">
                  <c:v>Sum of 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'Oil Inflation'!$A$49:$A$80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Inflation'!$D$49:$D$80</c:f>
              <c:numCache>
                <c:formatCode>0.00%</c:formatCode>
                <c:ptCount val="29"/>
                <c:pt idx="1">
                  <c:v>3.205128205128205E-3</c:v>
                </c:pt>
                <c:pt idx="2">
                  <c:v>2.5559105431310269E-3</c:v>
                </c:pt>
                <c:pt idx="3">
                  <c:v>7.0108349267048713E-3</c:v>
                </c:pt>
                <c:pt idx="4">
                  <c:v>9.4936708860759497E-3</c:v>
                </c:pt>
                <c:pt idx="5">
                  <c:v>5.6426332288401614E-3</c:v>
                </c:pt>
                <c:pt idx="6">
                  <c:v>8.7281795511222303E-3</c:v>
                </c:pt>
                <c:pt idx="7">
                  <c:v>3.0902348578491965E-3</c:v>
                </c:pt>
                <c:pt idx="8">
                  <c:v>0</c:v>
                </c:pt>
                <c:pt idx="9">
                  <c:v>1.4171287738755286E-2</c:v>
                </c:pt>
                <c:pt idx="10">
                  <c:v>6.0753341433778859E-3</c:v>
                </c:pt>
                <c:pt idx="11">
                  <c:v>-2.4154589371981022E-3</c:v>
                </c:pt>
                <c:pt idx="13">
                  <c:v>3.0303030303030303E-3</c:v>
                </c:pt>
                <c:pt idx="14">
                  <c:v>6.0422960725075529E-3</c:v>
                </c:pt>
                <c:pt idx="15">
                  <c:v>1.6216216216216148E-2</c:v>
                </c:pt>
                <c:pt idx="16">
                  <c:v>9.4562647754138467E-3</c:v>
                </c:pt>
                <c:pt idx="17">
                  <c:v>3.5128805620608565E-3</c:v>
                </c:pt>
                <c:pt idx="18">
                  <c:v>5.2508751458576761E-3</c:v>
                </c:pt>
                <c:pt idx="19">
                  <c:v>4.6430644225187636E-3</c:v>
                </c:pt>
                <c:pt idx="20">
                  <c:v>5.7770075101097633E-3</c:v>
                </c:pt>
                <c:pt idx="21">
                  <c:v>6.8925904652499545E-3</c:v>
                </c:pt>
                <c:pt idx="22">
                  <c:v>-6.8454078722191497E-3</c:v>
                </c:pt>
                <c:pt idx="23">
                  <c:v>0</c:v>
                </c:pt>
                <c:pt idx="25">
                  <c:v>8.0045740423099233E-3</c:v>
                </c:pt>
                <c:pt idx="26">
                  <c:v>0</c:v>
                </c:pt>
                <c:pt idx="27">
                  <c:v>6.239364719228555E-3</c:v>
                </c:pt>
                <c:pt idx="28">
                  <c:v>4.5095828635850219E-3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A7-460B-A48F-5EBC0F070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769743"/>
        <c:axId val="551423279"/>
      </c:lineChart>
      <c:catAx>
        <c:axId val="14127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23279"/>
        <c:crosses val="autoZero"/>
        <c:auto val="1"/>
        <c:lblAlgn val="ctr"/>
        <c:lblOffset val="100"/>
        <c:noMultiLvlLbl val="0"/>
      </c:catAx>
      <c:valAx>
        <c:axId val="55142327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6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(CS)(NEW).xlsx]Oil Inflation!PivotTable4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'Oil Inflation'!$B$92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'Oil Inflation'!$A$93:$A$124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Inflation'!$B$93:$B$124</c:f>
              <c:numCache>
                <c:formatCode>0.00%</c:formatCode>
                <c:ptCount val="29"/>
                <c:pt idx="1">
                  <c:v>3.0425963488843813E-2</c:v>
                </c:pt>
                <c:pt idx="2">
                  <c:v>2.0341207349081326E-2</c:v>
                </c:pt>
                <c:pt idx="3">
                  <c:v>6.4308681672022071E-4</c:v>
                </c:pt>
                <c:pt idx="4">
                  <c:v>2.4421593830334265E-2</c:v>
                </c:pt>
                <c:pt idx="5">
                  <c:v>2.5094102885822186E-3</c:v>
                </c:pt>
                <c:pt idx="6">
                  <c:v>5.6320400500624356E-3</c:v>
                </c:pt>
                <c:pt idx="7">
                  <c:v>1.1823273179838244E-2</c:v>
                </c:pt>
                <c:pt idx="8">
                  <c:v>0</c:v>
                </c:pt>
                <c:pt idx="9">
                  <c:v>9.8400984009839754E-3</c:v>
                </c:pt>
                <c:pt idx="10">
                  <c:v>-1.8270401948841837E-3</c:v>
                </c:pt>
                <c:pt idx="11">
                  <c:v>1.2202562538132314E-3</c:v>
                </c:pt>
                <c:pt idx="13">
                  <c:v>9.1352009744214372E-3</c:v>
                </c:pt>
                <c:pt idx="14">
                  <c:v>9.0525045262522634E-3</c:v>
                </c:pt>
                <c:pt idx="15">
                  <c:v>2.9904306220095697E-2</c:v>
                </c:pt>
                <c:pt idx="16">
                  <c:v>1.3937282229965191E-2</c:v>
                </c:pt>
                <c:pt idx="17">
                  <c:v>8.0183276059565042E-3</c:v>
                </c:pt>
                <c:pt idx="18">
                  <c:v>2.0454545454545423E-2</c:v>
                </c:pt>
                <c:pt idx="19">
                  <c:v>-4.4543429844097048E-3</c:v>
                </c:pt>
                <c:pt idx="20">
                  <c:v>3.9149888143176093E-3</c:v>
                </c:pt>
                <c:pt idx="21">
                  <c:v>5.5710306406685237E-3</c:v>
                </c:pt>
                <c:pt idx="22">
                  <c:v>4.4321329639889825E-3</c:v>
                </c:pt>
                <c:pt idx="23">
                  <c:v>3.8610038610037982E-3</c:v>
                </c:pt>
                <c:pt idx="25">
                  <c:v>5.4945054945051823E-4</c:v>
                </c:pt>
                <c:pt idx="26">
                  <c:v>-1.0982976386600144E-3</c:v>
                </c:pt>
                <c:pt idx="27">
                  <c:v>-1.0995052226499013E-3</c:v>
                </c:pt>
                <c:pt idx="28">
                  <c:v>6.0539350577876877E-3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B-4046-831C-64EDBC55EFED}"/>
            </c:ext>
          </c:extLst>
        </c:ser>
        <c:ser>
          <c:idx val="1"/>
          <c:order val="1"/>
          <c:tx>
            <c:strRef>
              <c:f>'Oil Inflation'!$C$92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'Oil Inflation'!$A$93:$A$124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Inflation'!$C$93:$C$124</c:f>
              <c:numCache>
                <c:formatCode>0.00%</c:formatCode>
                <c:ptCount val="29"/>
                <c:pt idx="1">
                  <c:v>2.2551092318534097E-2</c:v>
                </c:pt>
                <c:pt idx="2">
                  <c:v>7.5809786354238068E-3</c:v>
                </c:pt>
                <c:pt idx="3">
                  <c:v>2.7359781121751416E-3</c:v>
                </c:pt>
                <c:pt idx="4">
                  <c:v>1.568894952251031E-2</c:v>
                </c:pt>
                <c:pt idx="5">
                  <c:v>1.2088650100738636E-2</c:v>
                </c:pt>
                <c:pt idx="6">
                  <c:v>1.5925680159256841E-2</c:v>
                </c:pt>
                <c:pt idx="7">
                  <c:v>5.8785107772697954E-3</c:v>
                </c:pt>
                <c:pt idx="8">
                  <c:v>0</c:v>
                </c:pt>
                <c:pt idx="9">
                  <c:v>1.1038961038960965E-2</c:v>
                </c:pt>
                <c:pt idx="10">
                  <c:v>-5.7803468208091026E-3</c:v>
                </c:pt>
                <c:pt idx="11">
                  <c:v>5.8139534883719455E-3</c:v>
                </c:pt>
                <c:pt idx="13">
                  <c:v>2.5559105431310269E-3</c:v>
                </c:pt>
                <c:pt idx="14">
                  <c:v>6.3734862970044612E-3</c:v>
                </c:pt>
                <c:pt idx="15">
                  <c:v>2.9765674477517344E-2</c:v>
                </c:pt>
                <c:pt idx="16">
                  <c:v>2.4600246002460377E-3</c:v>
                </c:pt>
                <c:pt idx="17">
                  <c:v>-1.1656441717791446E-2</c:v>
                </c:pt>
                <c:pt idx="18">
                  <c:v>3.1036623215394167E-3</c:v>
                </c:pt>
                <c:pt idx="19">
                  <c:v>1.8564356435644268E-3</c:v>
                </c:pt>
                <c:pt idx="20">
                  <c:v>2.470660901791264E-3</c:v>
                </c:pt>
                <c:pt idx="21">
                  <c:v>3.6968576709796321E-3</c:v>
                </c:pt>
                <c:pt idx="22">
                  <c:v>6.1387354205030267E-4</c:v>
                </c:pt>
                <c:pt idx="23">
                  <c:v>2.4539877300613845E-3</c:v>
                </c:pt>
                <c:pt idx="25">
                  <c:v>3.6674816625916523E-3</c:v>
                </c:pt>
                <c:pt idx="26">
                  <c:v>0</c:v>
                </c:pt>
                <c:pt idx="27">
                  <c:v>1.8270401948843567E-3</c:v>
                </c:pt>
                <c:pt idx="28">
                  <c:v>1.8237082066869992E-3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B-4046-831C-64EDBC55E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2734479"/>
        <c:axId val="551416079"/>
      </c:barChart>
      <c:lineChart>
        <c:grouping val="stacked"/>
        <c:varyColors val="0"/>
        <c:ser>
          <c:idx val="2"/>
          <c:order val="2"/>
          <c:tx>
            <c:strRef>
              <c:f>'Oil Inflation'!$D$92</c:f>
              <c:strCache>
                <c:ptCount val="1"/>
                <c:pt idx="0">
                  <c:v>Sum of General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'Oil Inflation'!$A$93:$A$124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'Oil Inflation'!$D$93:$D$124</c:f>
              <c:numCache>
                <c:formatCode>0.00%</c:formatCode>
                <c:ptCount val="29"/>
                <c:pt idx="1">
                  <c:v>-4.4500953591863762E-3</c:v>
                </c:pt>
                <c:pt idx="2">
                  <c:v>1.2771392081737999E-3</c:v>
                </c:pt>
                <c:pt idx="3">
                  <c:v>6.3775510204081625E-3</c:v>
                </c:pt>
                <c:pt idx="4">
                  <c:v>1.6476552598225565E-2</c:v>
                </c:pt>
                <c:pt idx="5">
                  <c:v>5.6109725685785893E-3</c:v>
                </c:pt>
                <c:pt idx="6">
                  <c:v>7.439553626782322E-3</c:v>
                </c:pt>
                <c:pt idx="7">
                  <c:v>4.3076923076922381E-3</c:v>
                </c:pt>
                <c:pt idx="8">
                  <c:v>0</c:v>
                </c:pt>
                <c:pt idx="9">
                  <c:v>1.4093137254902032E-2</c:v>
                </c:pt>
                <c:pt idx="10">
                  <c:v>7.2507552870089949E-3</c:v>
                </c:pt>
                <c:pt idx="11">
                  <c:v>-2.999400119976005E-3</c:v>
                </c:pt>
                <c:pt idx="13">
                  <c:v>2.4140012070006378E-3</c:v>
                </c:pt>
                <c:pt idx="14">
                  <c:v>9.6327513546056245E-3</c:v>
                </c:pt>
                <c:pt idx="15">
                  <c:v>1.4311270125223648E-2</c:v>
                </c:pt>
                <c:pt idx="16">
                  <c:v>9.4062316284538178E-3</c:v>
                </c:pt>
                <c:pt idx="17">
                  <c:v>5.2417006406523343E-3</c:v>
                </c:pt>
                <c:pt idx="18">
                  <c:v>4.634994206257308E-3</c:v>
                </c:pt>
                <c:pt idx="19">
                  <c:v>5.1903114186851538E-3</c:v>
                </c:pt>
                <c:pt idx="20">
                  <c:v>5.737234652897303E-3</c:v>
                </c:pt>
                <c:pt idx="21">
                  <c:v>7.9863091842554308E-3</c:v>
                </c:pt>
                <c:pt idx="22">
                  <c:v>-1.1318619128465684E-3</c:v>
                </c:pt>
                <c:pt idx="23">
                  <c:v>-4.5325779036827843E-3</c:v>
                </c:pt>
                <c:pt idx="25">
                  <c:v>3.9660056657223148E-3</c:v>
                </c:pt>
                <c:pt idx="26">
                  <c:v>0</c:v>
                </c:pt>
                <c:pt idx="27">
                  <c:v>5.0790067720090613E-3</c:v>
                </c:pt>
                <c:pt idx="28">
                  <c:v>5.614823133071308E-3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B-4046-831C-64EDBC55E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734479"/>
        <c:axId val="551416079"/>
      </c:lineChart>
      <c:catAx>
        <c:axId val="141273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16079"/>
        <c:crosses val="autoZero"/>
        <c:auto val="1"/>
        <c:lblAlgn val="ctr"/>
        <c:lblOffset val="100"/>
        <c:noMultiLvlLbl val="0"/>
      </c:catAx>
      <c:valAx>
        <c:axId val="55141607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73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0</xdr:row>
      <xdr:rowOff>0</xdr:rowOff>
    </xdr:from>
    <xdr:to>
      <xdr:col>10</xdr:col>
      <xdr:colOff>899160</xdr:colOff>
      <xdr:row>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E8679A-9DF7-E959-74F7-B4496E8E3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</xdr:colOff>
      <xdr:row>11</xdr:row>
      <xdr:rowOff>57150</xdr:rowOff>
    </xdr:from>
    <xdr:to>
      <xdr:col>10</xdr:col>
      <xdr:colOff>861060</xdr:colOff>
      <xdr:row>19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33A48D-AC1F-507F-4831-B79CBC926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</xdr:colOff>
      <xdr:row>21</xdr:row>
      <xdr:rowOff>144780</xdr:rowOff>
    </xdr:from>
    <xdr:to>
      <xdr:col>10</xdr:col>
      <xdr:colOff>944880</xdr:colOff>
      <xdr:row>30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45DB95-991C-D2CA-13E0-EAAD5BE6A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432370</xdr:colOff>
      <xdr:row>3</xdr:row>
      <xdr:rowOff>6849</xdr:rowOff>
    </xdr:from>
    <xdr:to>
      <xdr:col>13</xdr:col>
      <xdr:colOff>248293</xdr:colOff>
      <xdr:row>23</xdr:row>
      <xdr:rowOff>102742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B51038-1623-2B7C-3306-A5D673584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97971</xdr:colOff>
      <xdr:row>4</xdr:row>
      <xdr:rowOff>166914</xdr:rowOff>
    </xdr:from>
    <xdr:to>
      <xdr:col>13</xdr:col>
      <xdr:colOff>519823</xdr:colOff>
      <xdr:row>36</xdr:row>
      <xdr:rowOff>46444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18B82-8754-8C67-3A3F-C6FC90DD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68698</xdr:colOff>
      <xdr:row>50</xdr:row>
      <xdr:rowOff>0</xdr:rowOff>
    </xdr:from>
    <xdr:to>
      <xdr:col>13</xdr:col>
      <xdr:colOff>453572</xdr:colOff>
      <xdr:row>79</xdr:row>
      <xdr:rowOff>8562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D7F7A0-E660-8CAD-9566-6A2DA7DB4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210156</xdr:colOff>
      <xdr:row>94</xdr:row>
      <xdr:rowOff>25972</xdr:rowOff>
    </xdr:from>
    <xdr:to>
      <xdr:col>14</xdr:col>
      <xdr:colOff>39077</xdr:colOff>
      <xdr:row>123</xdr:row>
      <xdr:rowOff>44559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8D2CC9-F857-C144-0343-60B68E1F1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dab%20pan\OneDrive\Documents\All_India_Index_Upto_April23%20(1)%20(1).xlsx" TargetMode="External"/><Relationship Id="rId1" Type="http://schemas.openxmlformats.org/officeDocument/2006/relationships/pivotCacheRecords" Target="pivotCacheRecords4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b pan" refreshedDate="46207.583554513891" createdVersion="8" refreshedVersion="8" minRefreshableVersion="3" recordCount="366" xr:uid="{0D165DC0-7C13-42AC-963D-208727EC47E0}">
  <cacheSource type="worksheet">
    <worksheetSource ref="A1:AD373" sheet="All_India_Index_Upto_April23 (1"/>
  </cacheSource>
  <cacheFields count="30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 count="275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19999999999999"/>
        <n v="129.80000000000001"/>
        <n v="131.1"/>
        <n v="130.30000000000001"/>
        <n v="131"/>
        <n v="131.5"/>
        <n v="131.19999999999999"/>
        <n v="131.80000000000001"/>
        <n v="132.6"/>
        <n v="132.1"/>
        <n v="132.4"/>
        <n v="133.30000000000001"/>
        <n v="132.69999999999999"/>
        <n v="131.4"/>
        <n v="131.30000000000001"/>
        <n v="129.1"/>
        <n v="129.9"/>
        <n v="130.4"/>
        <n v="133.6"/>
        <n v="134.6"/>
        <n v="134"/>
        <n v="136"/>
        <n v="138.19999999999999"/>
        <n v="136.80000000000001"/>
        <n v="137.6"/>
        <n v="139.80000000000001"/>
        <n v="138.4"/>
        <n v="138"/>
        <n v="137.9"/>
        <n v="137.19999999999999"/>
        <n v="135.69999999999999"/>
        <n v="136.6"/>
        <n v="137.4"/>
        <n v="136.30000000000001"/>
        <n v="137"/>
        <n v="135.19999999999999"/>
        <n v="136.1"/>
        <n v="134.69999999999999"/>
        <n v="132.80000000000001"/>
        <n v="133.69999999999999"/>
        <n v="132"/>
        <n v="133.1"/>
        <n v="133"/>
        <n v="133.4"/>
        <n v="133.5"/>
        <n v="133.80000000000001"/>
        <n v="134.9"/>
        <n v="138.5"/>
        <n v="139"/>
        <n v="140.6"/>
        <n v="140.5"/>
        <n v="139.6"/>
        <n v="140.4"/>
        <n v="139.69999999999999"/>
        <n v="140.1"/>
        <n v="142.4"/>
        <n v="141.5"/>
        <n v="142.1"/>
        <n v="138.80000000000001"/>
        <n v="139.19999999999999"/>
        <n v="138.69999999999999"/>
        <n v="135.6"/>
        <n v="138.6"/>
        <n v="134.80000000000001"/>
        <n v="137.5"/>
        <n v="139.1"/>
        <n v="136.4"/>
        <n v="138.1"/>
        <n v="140"/>
        <n v="139.4"/>
        <n v="142"/>
        <n v="140.30000000000001"/>
        <n v="141.4"/>
        <n v="142.69999999999999"/>
        <n v="141.69999999999999"/>
        <n v="141.30000000000001"/>
        <n v="138.9"/>
        <n v="140.19999999999999"/>
        <n v="137.30000000000001"/>
        <n v="143.80000000000001"/>
        <n v="140.9"/>
        <n v="141"/>
        <n v="145.6"/>
        <n v="143"/>
        <n v="147.69999999999999"/>
        <n v="144.69999999999999"/>
        <n v="144"/>
        <n v="149.1"/>
        <n v="145.9"/>
        <n v="145.5"/>
        <n v="149.5"/>
        <n v="147"/>
        <n v="148.30000000000001"/>
        <n v="151.9"/>
        <n v="149.6"/>
        <n v="150.9"/>
        <n v="153.6"/>
        <n v="154.30000000000001"/>
        <n v="156.30000000000001"/>
        <n v="155"/>
        <n v="153"/>
        <n v="154.4"/>
        <n v="153.5"/>
        <n v="149.80000000000001"/>
        <n v="151.69999999999999"/>
        <n v="150.5"/>
        <n v="148.19999999999999"/>
        <n v="150.1"/>
        <n v="148.9"/>
        <n v="152.30000000000001"/>
        <n v="157"/>
        <n v="154"/>
        <n v="155.30000000000001"/>
        <n v="159.9"/>
        <n v="156.1"/>
        <n v="161.30000000000001"/>
        <n v="158"/>
        <n v="159.6"/>
        <n v="164.4"/>
        <n v="161.4"/>
        <n v="163.4"/>
        <n v="167"/>
        <n v="164.7"/>
        <n v="164.5"/>
        <n v="165.4"/>
        <n v="161"/>
        <n v="154.69999999999999"/>
        <n v="160.80000000000001"/>
        <n v="156.9"/>
        <n v="154.5"/>
        <n v="160.4"/>
        <n v="156.69999999999999"/>
        <n v="155.6"/>
        <n v="162"/>
        <n v="158.69999999999999"/>
        <n v="164.2"/>
        <n v="160.69999999999999"/>
        <n v="160.5"/>
        <n v="166.2"/>
        <n v="162.6"/>
        <n v="161.69999999999999"/>
        <n v="167.9"/>
        <n v="164"/>
        <n v="161.80000000000001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</sharedItems>
    </cacheField>
    <cacheField name="Pan, tobacco and intoxicants" numFmtId="0">
      <sharedItems containsSemiMixedTypes="0" containsString="0" containsNumber="1" minValue="105.1" maxValue="204.2" count="308">
        <n v="105.1"/>
        <n v="105.2"/>
        <n v="105.6"/>
        <n v="106"/>
        <n v="105.7"/>
        <n v="106.5"/>
        <n v="106.8"/>
        <n v="106.6"/>
        <n v="107.1"/>
        <n v="108.5"/>
        <n v="107.5"/>
        <n v="108.1"/>
        <n v="109.8"/>
        <n v="108.6"/>
        <n v="109"/>
        <n v="110.9"/>
        <n v="109.5"/>
        <n v="111.7"/>
        <n v="110.3"/>
        <n v="110.7"/>
        <n v="112.4"/>
        <n v="111.2"/>
        <n v="112.9"/>
        <n v="112"/>
        <n v="112.2"/>
        <n v="113.5"/>
        <n v="112.5"/>
        <n v="112.8"/>
        <n v="114.1"/>
        <n v="113.1"/>
        <n v="113.6"/>
        <n v="115"/>
        <n v="114"/>
        <n v="115.7"/>
        <n v="114.5"/>
        <n v="114.2"/>
        <n v="116.2"/>
        <n v="114.7"/>
        <n v="114.6"/>
        <n v="116.7"/>
        <n v="115.2"/>
        <n v="115.4"/>
        <n v="117.6"/>
        <n v="116"/>
        <n v="116.3"/>
        <n v="118.3"/>
        <n v="116.8"/>
        <n v="117.3"/>
        <n v="119"/>
        <n v="117.8"/>
        <n v="118"/>
        <n v="121"/>
        <n v="118.8"/>
        <n v="123"/>
        <n v="119.9"/>
        <n v="119.5"/>
        <n v="124.3"/>
        <n v="120.8"/>
        <n v="120"/>
        <n v="121.1"/>
        <n v="125.8"/>
        <n v="122.1"/>
        <n v="121.7"/>
        <n v="126.4"/>
        <n v="122.7"/>
        <n v="127.4"/>
        <n v="124"/>
        <n v="124.2"/>
        <n v="128.1"/>
        <n v="125.2"/>
        <n v="124.7"/>
        <n v="128.80000000000001"/>
        <n v="125.7"/>
        <n v="130.1"/>
        <n v="126.9"/>
        <n v="126.7"/>
        <n v="131.30000000000001"/>
        <n v="127.9"/>
        <n v="128.19999999999999"/>
        <n v="132.1"/>
        <n v="129.19999999999999"/>
        <n v="129.4"/>
        <n v="133.1"/>
        <n v="130.4"/>
        <n v="134.19999999999999"/>
        <n v="131.19999999999999"/>
        <n v="131"/>
        <n v="134.69999999999999"/>
        <n v="132"/>
        <n v="131.5"/>
        <n v="135.30000000000001"/>
        <n v="132.5"/>
        <n v="132.19999999999999"/>
        <n v="137.6"/>
        <n v="133.6"/>
        <n v="138.19999999999999"/>
        <n v="134.5"/>
        <n v="139.5"/>
        <n v="135.19999999999999"/>
        <n v="134.4"/>
        <n v="140"/>
        <n v="135.9"/>
        <n v="135"/>
        <n v="140.6"/>
        <n v="136.5"/>
        <n v="135.5"/>
        <n v="141.5"/>
        <n v="137.1"/>
        <n v="136"/>
        <n v="142.19999999999999"/>
        <n v="137.69999999999999"/>
        <n v="137.19999999999999"/>
        <n v="142.69999999999999"/>
        <n v="138.69999999999999"/>
        <n v="138"/>
        <n v="142.9"/>
        <n v="139.30000000000001"/>
        <n v="138.9"/>
        <n v="143.6"/>
        <n v="140.19999999999999"/>
        <n v="139.9"/>
        <n v="143.9"/>
        <n v="141"/>
        <n v="140.9"/>
        <n v="144.30000000000001"/>
        <n v="141.80000000000001"/>
        <n v="141.19999999999999"/>
        <n v="142"/>
        <n v="142.4"/>
        <n v="145"/>
        <n v="143.1"/>
        <n v="145.6"/>
        <n v="143.80000000000001"/>
        <n v="143.69999999999999"/>
        <n v="146.30000000000001"/>
        <n v="144.4"/>
        <n v="144.19999999999999"/>
        <n v="147.5"/>
        <n v="145.1"/>
        <n v="148"/>
        <n v="145.4"/>
        <n v="145.5"/>
        <n v="148.30000000000001"/>
        <n v="146.19999999999999"/>
        <n v="145.80000000000001"/>
        <n v="148.6"/>
        <n v="146.5"/>
        <n v="147.4"/>
        <n v="150.5"/>
        <n v="148.19999999999999"/>
        <n v="149"/>
        <n v="152.1"/>
        <n v="149.80000000000001"/>
        <n v="153.6"/>
        <n v="150.80000000000001"/>
        <n v="154.6"/>
        <n v="151.6"/>
        <n v="156.19999999999999"/>
        <n v="153.19999999999999"/>
        <n v="157"/>
        <n v="154.19999999999999"/>
        <n v="157.69999999999999"/>
        <n v="154.69999999999999"/>
        <n v="153.30000000000001"/>
        <n v="159.30000000000001"/>
        <n v="154.9"/>
        <n v="155.1"/>
        <n v="159.69999999999999"/>
        <n v="156.30000000000001"/>
        <n v="156.1"/>
        <n v="159.19999999999999"/>
        <n v="156.9"/>
        <n v="160.30000000000001"/>
        <n v="157.9"/>
        <n v="157.30000000000001"/>
        <n v="161"/>
        <n v="158.30000000000001"/>
        <n v="161.4"/>
        <n v="157.5"/>
        <n v="156.4"/>
        <n v="162.1"/>
        <n v="163.30000000000001"/>
        <n v="159.6"/>
        <n v="164"/>
        <n v="162.6"/>
        <n v="161.9"/>
        <n v="164.4"/>
        <n v="162.4"/>
        <n v="164.6"/>
        <n v="163"/>
        <n v="162.69999999999999"/>
        <n v="164.7"/>
        <n v="163.19999999999999"/>
        <n v="162.80000000000001"/>
        <n v="164.9"/>
        <n v="163.4"/>
        <n v="162.9"/>
        <n v="165.3"/>
        <n v="163.5"/>
        <n v="166.2"/>
        <n v="164.1"/>
        <n v="164.2"/>
        <n v="166.7"/>
        <n v="164.5"/>
        <n v="167.2"/>
        <n v="165.2"/>
        <n v="165.1"/>
        <n v="167.9"/>
        <n v="165.8"/>
        <n v="165.7"/>
        <n v="168.6"/>
        <n v="166.5"/>
        <n v="166.3"/>
        <n v="169.3"/>
        <n v="167.1"/>
        <n v="169.9"/>
        <n v="167.8"/>
        <n v="170.4"/>
        <n v="168.5"/>
        <n v="170.8"/>
        <n v="169.2"/>
        <n v="169.4"/>
        <n v="172"/>
        <n v="170.1"/>
        <n v="170.5"/>
        <n v="173.3"/>
        <n v="171.2"/>
        <n v="182.4"/>
        <n v="186.7"/>
        <n v="183.5"/>
        <n v="180.9"/>
        <n v="187.2"/>
        <n v="182.6"/>
        <n v="182.9"/>
        <n v="188.7"/>
        <n v="184.4"/>
        <n v="182.7"/>
        <n v="184.3"/>
        <n v="183.4"/>
        <n v="188.8"/>
        <n v="184.8"/>
        <n v="183.6"/>
        <n v="190.2"/>
        <n v="185.4"/>
        <n v="184.6"/>
        <n v="191.8"/>
        <n v="186.5"/>
        <n v="193.3"/>
        <n v="188.3"/>
        <n v="186.1"/>
        <n v="193.5"/>
        <n v="188.1"/>
        <n v="186.8"/>
        <n v="194.4"/>
        <n v="189.6"/>
        <n v="198.2"/>
        <n v="191.9"/>
        <n v="189.1"/>
        <n v="195.6"/>
        <n v="190.8"/>
        <n v="189.7"/>
        <n v="195.5"/>
        <n v="191.2"/>
        <n v="196.5"/>
        <n v="192.1"/>
        <n v="190.5"/>
        <n v="197"/>
        <n v="192.7"/>
        <n v="191.4"/>
        <n v="192.9"/>
        <n v="196.8"/>
        <n v="192.4"/>
        <n v="190.7"/>
        <n v="196.4"/>
        <n v="192.2"/>
        <n v="191.5"/>
        <n v="192.8"/>
        <n v="192.3"/>
        <n v="197.5"/>
        <n v="193.7"/>
        <n v="197.1"/>
        <n v="193.9"/>
        <n v="194.1"/>
        <n v="198.3"/>
        <n v="194.3"/>
        <n v="193.2"/>
        <n v="198.6"/>
        <n v="194.6"/>
        <n v="198.7"/>
        <n v="195"/>
        <n v="194.5"/>
        <n v="199.7"/>
        <n v="195.9"/>
        <n v="194.9"/>
        <n v="200.1"/>
        <n v="196.3"/>
        <n v="200.6"/>
        <n v="196.9"/>
        <n v="201.1"/>
        <n v="197.3"/>
        <n v="201.6"/>
        <n v="202.7"/>
        <n v="199.5"/>
        <n v="198.4"/>
        <n v="203.5"/>
        <n v="199.9"/>
        <n v="204.2"/>
        <n v="201"/>
      </sharedItems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 count="302">
        <n v="106.4"/>
        <n v="105.8"/>
        <n v="106.2"/>
        <n v="107"/>
        <n v="106.8"/>
        <n v="107.5"/>
        <n v="107.3"/>
        <n v="108"/>
        <n v="107.7"/>
        <n v="107.9"/>
        <n v="108.6"/>
        <n v="108.3"/>
        <n v="108.5"/>
        <n v="109.5"/>
        <n v="108.9"/>
        <n v="109.3"/>
        <n v="110.3"/>
        <n v="110"/>
        <n v="111.1"/>
        <n v="110.2"/>
        <n v="110.7"/>
        <n v="112.5"/>
        <n v="111.9"/>
        <n v="113.4"/>
        <n v="112"/>
        <n v="112.8"/>
        <n v="114.4"/>
        <n v="113"/>
        <n v="113.8"/>
        <n v="115.5"/>
        <n v="113.7"/>
        <n v="114.8"/>
        <n v="116.2"/>
        <n v="114.3"/>
        <n v="115.4"/>
        <n v="116.7"/>
        <n v="114.7"/>
        <n v="115.9"/>
        <n v="117.2"/>
        <n v="115.2"/>
        <n v="116.4"/>
        <n v="117.8"/>
        <n v="115.7"/>
        <n v="117"/>
        <n v="118.5"/>
        <n v="117.6"/>
        <n v="119.3"/>
        <n v="118.3"/>
        <n v="120.3"/>
        <n v="117.4"/>
        <n v="119.1"/>
        <n v="120.7"/>
        <n v="117.9"/>
        <n v="119.6"/>
        <n v="121.3"/>
        <n v="118.4"/>
        <n v="120.1"/>
        <n v="122.3"/>
        <n v="118.9"/>
        <n v="121"/>
        <n v="122.9"/>
        <n v="119.5"/>
        <n v="121.6"/>
        <n v="123.3"/>
        <n v="120"/>
        <n v="122"/>
        <n v="124"/>
        <n v="120.2"/>
        <n v="122.5"/>
        <n v="125"/>
        <n v="120.6"/>
        <n v="125.5"/>
        <n v="120.9"/>
        <n v="123.7"/>
        <n v="126"/>
        <n v="124.1"/>
        <n v="126.8"/>
        <n v="124.7"/>
        <n v="128"/>
        <n v="125.7"/>
        <n v="128.30000000000001"/>
        <n v="122.7"/>
        <n v="126.1"/>
        <n v="129"/>
        <n v="126.6"/>
        <n v="129.9"/>
        <n v="123.2"/>
        <n v="127.2"/>
        <n v="130.6"/>
        <n v="123.6"/>
        <n v="127.8"/>
        <n v="131.5"/>
        <n v="124.2"/>
        <n v="128.6"/>
        <n v="131.9"/>
        <n v="124.5"/>
        <n v="132.6"/>
        <n v="124.9"/>
        <n v="129.5"/>
        <n v="133.4"/>
        <n v="125.3"/>
        <n v="130.19999999999999"/>
        <n v="133.80000000000001"/>
        <n v="130.5"/>
        <n v="134.4"/>
        <n v="125.8"/>
        <n v="131"/>
        <n v="134.80000000000001"/>
        <n v="126.2"/>
        <n v="131.4"/>
        <n v="135.6"/>
        <n v="132"/>
        <n v="136.5"/>
        <n v="126.9"/>
        <n v="132.69999999999999"/>
        <n v="137.1"/>
        <n v="127.3"/>
        <n v="133.19999999999999"/>
        <n v="137.80000000000001"/>
        <n v="127.7"/>
        <n v="138.80000000000001"/>
        <n v="134.5"/>
        <n v="139.19999999999999"/>
        <n v="128.5"/>
        <n v="135"/>
        <n v="139.69999999999999"/>
        <n v="128.80000000000001"/>
        <n v="135.4"/>
        <n v="140"/>
        <n v="140.19999999999999"/>
        <n v="129.30000000000001"/>
        <n v="135.9"/>
        <n v="140.80000000000001"/>
        <n v="129.6"/>
        <n v="136.4"/>
        <n v="141.6"/>
        <n v="130"/>
        <n v="137"/>
        <n v="141.80000000000001"/>
        <n v="137.19999999999999"/>
        <n v="142.30000000000001"/>
        <n v="137.5"/>
        <n v="143.5"/>
        <n v="130.4"/>
        <n v="138.30000000000001"/>
        <n v="144.5"/>
        <n v="139.30000000000001"/>
        <n v="145.19999999999999"/>
        <n v="146.19999999999999"/>
        <n v="147.30000000000001"/>
        <n v="133.5"/>
        <n v="147.19999999999999"/>
        <n v="134"/>
        <n v="142"/>
        <n v="147.5"/>
        <n v="147.80000000000001"/>
        <n v="134.69999999999999"/>
        <n v="142.6"/>
        <n v="148.30000000000001"/>
        <n v="135.19999999999999"/>
        <n v="143.1"/>
        <n v="149.1"/>
        <n v="136.19999999999999"/>
        <n v="144"/>
        <n v="149.80000000000001"/>
        <n v="144.69999999999999"/>
        <n v="150.30000000000001"/>
        <n v="137.4"/>
        <n v="150.6"/>
        <n v="137.9"/>
        <n v="145.6"/>
        <n v="151.30000000000001"/>
        <n v="146.1"/>
        <n v="139.1"/>
        <n v="146.5"/>
        <n v="146.80000000000001"/>
        <n v="150.80000000000001"/>
        <n v="140.5"/>
        <n v="146.69999999999999"/>
        <n v="149.9"/>
        <n v="141.1"/>
        <n v="146.4"/>
        <n v="141.4"/>
        <n v="150.1"/>
        <n v="150.69999999999999"/>
        <n v="142.19999999999999"/>
        <n v="142.4"/>
        <n v="147.4"/>
        <n v="150.9"/>
        <n v="142.69999999999999"/>
        <n v="147.6"/>
        <n v="151.1"/>
        <n v="143"/>
        <n v="147.9"/>
        <n v="151"/>
        <n v="143.30000000000001"/>
        <n v="143.9"/>
        <n v="148.19999999999999"/>
        <n v="151.5"/>
        <n v="144.19999999999999"/>
        <n v="148.6"/>
        <n v="151.9"/>
        <n v="144.6"/>
        <n v="149"/>
        <n v="152.1"/>
        <n v="144.9"/>
        <n v="149.19999999999999"/>
        <n v="152.30000000000001"/>
        <n v="149.5"/>
        <n v="152.5"/>
        <n v="154.1"/>
        <n v="151.4"/>
        <n v="154.30000000000001"/>
        <n v="151.69999999999999"/>
        <n v="154.6"/>
        <n v="148.1"/>
        <n v="152"/>
        <n v="155"/>
        <n v="155.5"/>
        <n v="148.80000000000001"/>
        <n v="152.80000000000001"/>
        <n v="156.30000000000001"/>
        <n v="149.6"/>
        <n v="153.6"/>
        <n v="156.80000000000001"/>
        <n v="150.19999999999999"/>
        <n v="154.19999999999999"/>
        <n v="158.4"/>
        <n v="151.80000000000001"/>
        <n v="155.80000000000001"/>
        <n v="158.9"/>
        <n v="152.6"/>
        <n v="156.4"/>
        <n v="159.9"/>
        <n v="153.4"/>
        <n v="157.30000000000001"/>
        <n v="164.5"/>
        <n v="160.4"/>
        <n v="164.6"/>
        <n v="154.80000000000001"/>
        <n v="160.69999999999999"/>
        <n v="165.3"/>
        <n v="161.4"/>
        <n v="166.3"/>
        <n v="163.19999999999999"/>
        <n v="167.1"/>
        <n v="157.4"/>
        <n v="163.30000000000001"/>
        <n v="168.3"/>
        <n v="158.30000000000001"/>
        <n v="164.3"/>
        <n v="169.8"/>
        <n v="159.69999999999999"/>
        <n v="165.8"/>
        <n v="171.2"/>
        <n v="167"/>
        <n v="172.7"/>
        <n v="162.19999999999999"/>
        <n v="168.5"/>
        <n v="173.7"/>
        <n v="163.4"/>
        <n v="169.6"/>
        <n v="175.1"/>
        <n v="164.9"/>
        <n v="171.1"/>
        <n v="177.1"/>
        <n v="172.8"/>
        <n v="179"/>
        <n v="167.8"/>
        <n v="174.6"/>
        <n v="180.4"/>
        <n v="169.4"/>
        <n v="176"/>
        <n v="181.7"/>
        <n v="170.6"/>
        <n v="177.3"/>
        <n v="183"/>
        <n v="171.6"/>
        <n v="178.5"/>
        <n v="184.5"/>
        <n v="173"/>
        <n v="179.9"/>
        <n v="185.9"/>
        <n v="173.6"/>
        <n v="181"/>
        <n v="186.9"/>
        <n v="174.7"/>
        <n v="182.1"/>
        <n v="187.8"/>
        <n v="175.7"/>
        <n v="188.6"/>
        <n v="176.6"/>
        <n v="183.8"/>
        <n v="189.6"/>
        <n v="178.2"/>
        <n v="185.1"/>
        <n v="190.2"/>
        <n v="178.9"/>
        <n v="185.7"/>
        <n v="190.8"/>
        <n v="179.3"/>
        <n v="186.2"/>
      </sharedItems>
    </cacheField>
    <cacheField name="Housing" numFmtId="0">
      <sharedItems containsMixedTypes="1" containsNumber="1" minValue="100.3" maxValue="175.6" count="116">
        <s v="NA"/>
        <n v="100.3"/>
        <n v="100.4"/>
        <n v="100.5"/>
        <n v="106.6"/>
        <n v="107.7"/>
        <n v="108.9"/>
        <n v="109.7"/>
        <n v="110.5"/>
        <n v="111.1"/>
        <n v="110.7"/>
        <n v="111.6"/>
        <n v="112.5"/>
        <n v="113.2"/>
        <n v="113.9"/>
        <n v="114.3"/>
        <n v="114.8"/>
        <n v="115.5"/>
        <n v="116.1"/>
        <n v="116.7"/>
        <n v="117.1"/>
        <n v="116.5"/>
        <n v="117.3"/>
        <n v="118.1"/>
        <n v="118.6"/>
        <n v="119.2"/>
        <n v="119.6"/>
        <n v="119"/>
        <n v="119.9"/>
        <n v="120.9"/>
        <n v="121.6"/>
        <n v="122.4"/>
        <n v="122.9"/>
        <n v="123.4"/>
        <n v="124.4"/>
        <n v="124.9"/>
        <n v="125.6"/>
        <n v="126"/>
        <n v="125.5"/>
        <n v="126.4"/>
        <n v="127.3"/>
        <n v="127.9"/>
        <n v="128.69999999999999"/>
        <n v="129.1"/>
        <n v="128.5"/>
        <n v="129.6"/>
        <n v="130.5"/>
        <n v="131.1"/>
        <n v="131.69999999999999"/>
        <n v="132.1"/>
        <n v="131.4"/>
        <n v="132.6"/>
        <n v="134.4"/>
        <n v="135.69999999999999"/>
        <n v="137.30000000000001"/>
        <n v="138.6"/>
        <n v="139.1"/>
        <n v="140.4"/>
        <n v="141.30000000000001"/>
        <n v="142"/>
        <n v="142.9"/>
        <n v="143.19999999999999"/>
        <n v="142.5"/>
        <n v="143.6"/>
        <n v="144.6"/>
        <n v="145.30000000000001"/>
        <n v="146.30000000000001"/>
        <n v="146.9"/>
        <n v="146.5"/>
        <n v="147.69999999999999"/>
        <n v="148.5"/>
        <n v="149"/>
        <n v="150.1"/>
        <n v="149.4"/>
        <n v="150.6"/>
        <n v="151.6"/>
        <n v="152.19999999999999"/>
        <n v="153"/>
        <n v="153.5"/>
        <n v="152.80000000000001"/>
        <n v="153.9"/>
        <n v="154.80000000000001"/>
        <n v="154.5"/>
        <n v="154.69999999999999"/>
        <n v="155.5"/>
        <n v="156.30000000000001"/>
        <n v="156.5"/>
        <n v="158"/>
        <n v="158.4"/>
        <n v="157.69999999999999"/>
        <n v="159.80000000000001"/>
        <n v="159.9"/>
        <n v="161.4"/>
        <n v="161.6"/>
        <n v="160.5"/>
        <n v="161.5"/>
        <n v="162.1"/>
        <n v="163.6"/>
        <n v="164.2"/>
        <n v="163.4"/>
        <n v="164.5"/>
        <n v="165.5"/>
        <n v="165.3"/>
        <n v="167"/>
        <n v="167.5"/>
        <n v="166.8"/>
        <n v="167.8"/>
        <n v="169"/>
        <n v="169.5"/>
        <n v="171.2"/>
        <n v="171.8"/>
        <n v="170.7"/>
        <n v="172.1"/>
        <n v="173.5"/>
        <n v="175.2"/>
        <n v="175.6"/>
      </sharedItems>
    </cacheField>
    <cacheField name="Fuel and light" numFmtId="0">
      <sharedItems containsSemiMixedTypes="0" containsString="0" containsNumber="1" minValue="105.4" maxValue="183.4" count="272">
        <n v="105.5"/>
        <n v="105.4"/>
        <n v="106.2"/>
        <n v="105.7"/>
        <n v="106"/>
        <n v="106.1"/>
        <n v="106.5"/>
        <n v="106.4"/>
        <n v="107.5"/>
        <n v="107.2"/>
        <n v="107.4"/>
        <n v="108.5"/>
        <n v="108"/>
        <n v="108.3"/>
        <n v="109.5"/>
        <n v="108.6"/>
        <n v="109.2"/>
        <n v="109.9"/>
        <n v="109.3"/>
        <n v="109.7"/>
        <n v="111.1"/>
        <n v="110.5"/>
        <n v="111.6"/>
        <n v="110.9"/>
        <n v="112.6"/>
        <n v="110"/>
        <n v="112.8"/>
        <n v="110.4"/>
        <n v="111.9"/>
        <n v="113"/>
        <n v="111"/>
        <n v="112.2"/>
        <n v="113.2"/>
        <n v="112.4"/>
        <n v="113.4"/>
        <n v="112.5"/>
        <n v="114.4"/>
        <n v="111.2"/>
        <n v="115.3"/>
        <n v="113.9"/>
        <n v="115.4"/>
        <n v="111.8"/>
        <n v="114"/>
        <n v="115.8"/>
        <n v="114.3"/>
        <n v="116.4"/>
        <n v="112"/>
        <n v="114.7"/>
        <n v="117.3"/>
        <n v="115.5"/>
        <n v="117.4"/>
        <n v="115.7"/>
        <n v="118.4"/>
        <n v="116.5"/>
        <n v="120"/>
        <n v="117.7"/>
        <n v="120.6"/>
        <n v="118.3"/>
        <n v="121.2"/>
        <n v="118.7"/>
        <n v="121.9"/>
        <n v="114.9"/>
        <n v="119.2"/>
        <n v="122.6"/>
        <n v="115.1"/>
        <n v="119.8"/>
        <n v="123"/>
        <n v="120.1"/>
        <n v="123.8"/>
        <n v="123.7"/>
        <n v="120.4"/>
        <n v="124.4"/>
        <n v="120.8"/>
        <n v="125.6"/>
        <n v="121.6"/>
        <n v="125.7"/>
        <n v="116"/>
        <n v="122"/>
        <n v="126.2"/>
        <n v="116.9"/>
        <n v="122.7"/>
        <n v="127.5"/>
        <n v="123.1"/>
        <n v="127"/>
        <n v="114.8"/>
        <n v="122.4"/>
        <n v="114.6"/>
        <n v="122.3"/>
        <n v="127.4"/>
        <n v="115"/>
        <n v="128"/>
        <n v="123.3"/>
        <n v="128.19999999999999"/>
        <n v="123.4"/>
        <n v="129.1"/>
        <n v="123.6"/>
        <n v="129.69999999999999"/>
        <n v="124.1"/>
        <n v="129.80000000000001"/>
        <n v="115.2"/>
        <n v="124.3"/>
        <n v="130.30000000000001"/>
        <n v="116.2"/>
        <n v="125"/>
        <n v="132"/>
        <n v="117.8"/>
        <n v="126.6"/>
        <n v="132.1"/>
        <n v="118"/>
        <n v="126.8"/>
        <n v="133.19999999999999"/>
        <n v="127.9"/>
        <n v="134.19999999999999"/>
        <n v="135"/>
        <n v="121.4"/>
        <n v="129.4"/>
        <n v="134.80000000000001"/>
        <n v="119"/>
        <n v="128.80000000000001"/>
        <n v="135.30000000000001"/>
        <n v="119.7"/>
        <n v="136.4"/>
        <n v="118.9"/>
        <n v="137.4"/>
        <n v="131"/>
        <n v="138.1"/>
        <n v="132.19999999999999"/>
        <n v="141.1"/>
        <n v="142.6"/>
        <n v="136.6"/>
        <n v="142.30000000000001"/>
        <n v="127.3"/>
        <n v="142.4"/>
        <n v="136.69999999999999"/>
        <n v="126.4"/>
        <n v="136.5"/>
        <n v="143.80000000000001"/>
        <n v="124.6"/>
        <n v="144.30000000000001"/>
        <n v="124.7"/>
        <n v="136.9"/>
        <n v="145.1"/>
        <n v="126.5"/>
        <n v="146.80000000000001"/>
        <n v="128.1"/>
        <n v="139.69999999999999"/>
        <n v="147.69999999999999"/>
        <n v="140.9"/>
        <n v="149"/>
        <n v="131.19999999999999"/>
        <n v="149.69999999999999"/>
        <n v="133.4"/>
        <n v="145.30000000000001"/>
        <n v="150.30000000000001"/>
        <n v="132.4"/>
        <n v="142.69999999999999"/>
        <n v="146.19999999999999"/>
        <n v="128.6"/>
        <n v="139.5"/>
        <n v="127.1"/>
        <n v="138.4"/>
        <n v="146.4"/>
        <n v="146.9"/>
        <n v="140.30000000000001"/>
        <n v="147.80000000000001"/>
        <n v="130.5"/>
        <n v="141.19999999999999"/>
        <n v="139.30000000000001"/>
        <n v="125.5"/>
        <n v="138.5"/>
        <n v="139.19999999999999"/>
        <n v="128.9"/>
        <n v="140.6"/>
        <n v="148.4"/>
        <n v="149.9"/>
        <n v="133.6"/>
        <n v="143.69999999999999"/>
        <n v="150.4"/>
        <n v="135.1"/>
        <n v="144.6"/>
        <n v="152.30000000000001"/>
        <n v="138.9"/>
        <n v="147.19999999999999"/>
        <n v="153.4"/>
        <n v="141.4"/>
        <n v="148.9"/>
        <n v="144.9"/>
        <n v="137.1"/>
        <n v="141.9"/>
        <n v="145.80000000000001"/>
        <n v="138.30000000000001"/>
        <n v="143"/>
        <n v="137.19999999999999"/>
        <n v="142.9"/>
        <n v="143.1"/>
        <n v="147.5"/>
        <n v="137.30000000000001"/>
        <n v="143.6"/>
        <n v="148.69999999999999"/>
        <n v="137.9"/>
        <n v="150.9"/>
        <n v="147.9"/>
        <n v="154.4"/>
        <n v="149.1"/>
        <n v="152.4"/>
        <n v="156"/>
        <n v="154.80000000000001"/>
        <n v="155.5"/>
        <n v="154.9"/>
        <n v="155.6"/>
        <n v="161.69999999999999"/>
        <n v="159.4"/>
        <n v="162.1"/>
        <n v="156.1"/>
        <n v="159.80000000000001"/>
        <n v="162.5"/>
        <n v="157.69999999999999"/>
        <n v="160.69999999999999"/>
        <n v="163.1"/>
        <n v="162.6"/>
        <n v="163.69999999999999"/>
        <n v="160.80000000000001"/>
        <n v="165.5"/>
        <n v="162.19999999999999"/>
        <n v="164.2"/>
        <n v="165.3"/>
        <n v="161.6"/>
        <n v="163.9"/>
        <n v="165.6"/>
        <n v="164.1"/>
        <n v="165.8"/>
        <n v="167.4"/>
        <n v="163"/>
        <n v="165.7"/>
        <n v="168.9"/>
        <n v="164.5"/>
        <n v="167.2"/>
        <n v="173.3"/>
        <n v="170.5"/>
        <n v="172.2"/>
        <n v="175.3"/>
        <n v="173.5"/>
        <n v="174.6"/>
        <n v="176.7"/>
        <n v="174.9"/>
        <n v="176"/>
        <n v="179.6"/>
        <n v="179.5"/>
        <n v="179.1"/>
        <n v="178.4"/>
        <n v="178.8"/>
        <n v="179.7"/>
        <n v="179.2"/>
        <n v="180.8"/>
        <n v="180"/>
        <n v="180.5"/>
        <n v="181.9"/>
        <n v="180.3"/>
        <n v="181.3"/>
        <n v="182.8"/>
        <n v="180.6"/>
        <n v="182"/>
        <n v="183.2"/>
        <n v="180.1"/>
        <n v="181.6"/>
        <n v="182.1"/>
        <n v="181.4"/>
        <n v="182.6"/>
        <n v="181.5"/>
        <n v="181.7"/>
        <n v="182.5"/>
        <n v="183.4"/>
      </sharedItems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 count="284">
        <n v="105.1"/>
        <n v="104"/>
        <n v="104.6"/>
        <n v="105.8"/>
        <n v="104.7"/>
        <n v="105.3"/>
        <n v="106"/>
        <n v="105"/>
        <n v="105.5"/>
        <n v="106.4"/>
        <n v="105.7"/>
        <n v="106.1"/>
        <n v="107.2"/>
        <n v="106.6"/>
        <n v="106.9"/>
        <n v="108.9"/>
        <n v="109.7"/>
        <n v="109.3"/>
        <n v="110.7"/>
        <n v="111.4"/>
        <n v="111"/>
        <n v="112.1"/>
        <n v="112.7"/>
        <n v="112.4"/>
        <n v="114.2"/>
        <n v="113.2"/>
        <n v="113.7"/>
        <n v="115.5"/>
        <n v="114"/>
        <n v="114.8"/>
        <n v="117.4"/>
        <n v="115"/>
        <n v="116.3"/>
        <n v="113.3"/>
        <n v="114.5"/>
        <n v="112.9"/>
        <n v="113.6"/>
        <n v="113.1"/>
        <n v="114.6"/>
        <n v="115.4"/>
        <n v="114.7"/>
        <n v="115.1"/>
        <n v="116"/>
        <n v="115.6"/>
        <n v="115.8"/>
        <n v="117"/>
        <n v="116.4"/>
        <n v="116.7"/>
        <n v="119.5"/>
        <n v="118.9"/>
        <n v="119.2"/>
        <n v="120.7"/>
        <n v="119.9"/>
        <n v="120.3"/>
        <n v="120.9"/>
        <n v="120.1"/>
        <n v="121"/>
        <n v="119.1"/>
        <n v="121.1"/>
        <n v="119"/>
        <n v="118.4"/>
        <n v="119.4"/>
        <n v="118.5"/>
        <n v="120.6"/>
        <n v="118.7"/>
        <n v="119.7"/>
        <n v="120.2"/>
        <n v="121.5"/>
        <n v="122.4"/>
        <n v="121.6"/>
        <n v="124.1"/>
        <n v="121.7"/>
        <n v="123"/>
        <n v="124.7"/>
        <n v="123.6"/>
        <n v="126.1"/>
        <n v="123.2"/>
        <n v="124.8"/>
        <n v="127"/>
        <n v="123.5"/>
        <n v="125.4"/>
        <n v="127.7"/>
        <n v="124.2"/>
        <n v="128.30000000000001"/>
        <n v="124.6"/>
        <n v="126.6"/>
        <n v="127.9"/>
        <n v="124"/>
        <n v="128.1"/>
        <n v="126.3"/>
        <n v="123.8"/>
        <n v="126"/>
        <n v="128"/>
        <n v="129"/>
        <n v="125.3"/>
        <n v="127.3"/>
        <n v="130.30000000000001"/>
        <n v="128.6"/>
        <n v="131.9"/>
        <n v="130.1"/>
        <n v="133"/>
        <n v="131.1"/>
        <n v="133.5"/>
        <n v="128.4"/>
        <n v="133.4"/>
        <n v="130.9"/>
        <n v="133.80000000000001"/>
        <n v="131.4"/>
        <n v="133.6"/>
        <n v="128.5"/>
        <n v="131.19999999999999"/>
        <n v="132.80000000000001"/>
        <n v="127.6"/>
        <n v="130.4"/>
        <n v="132.4"/>
        <n v="127.8"/>
        <n v="132.6"/>
        <n v="128.19999999999999"/>
        <n v="130.6"/>
        <n v="128.69999999999999"/>
        <n v="132.9"/>
        <n v="129.1"/>
        <n v="133.30000000000001"/>
        <n v="129.30000000000001"/>
        <n v="133.9"/>
        <n v="129.9"/>
        <n v="132"/>
        <n v="136.19999999999999"/>
        <n v="131.80000000000001"/>
        <n v="134.19999999999999"/>
        <n v="137.80000000000001"/>
        <n v="132.69999999999999"/>
        <n v="135.4"/>
        <n v="137.6"/>
        <n v="135.19999999999999"/>
        <n v="138.30000000000001"/>
        <n v="136.1"/>
        <n v="140"/>
        <n v="134.80000000000001"/>
        <n v="139.80000000000001"/>
        <n v="134.1"/>
        <n v="137.19999999999999"/>
        <n v="139.30000000000001"/>
        <n v="136.9"/>
        <n v="138.5"/>
        <n v="134"/>
        <n v="136.4"/>
        <n v="138.69999999999999"/>
        <n v="136.5"/>
        <n v="139.1"/>
        <n v="137.1"/>
        <n v="140.5"/>
        <n v="141.80000000000001"/>
        <n v="137.5"/>
        <n v="142.5"/>
        <n v="138"/>
        <n v="140.4"/>
        <n v="142.1"/>
        <n v="138.1"/>
        <n v="140.19999999999999"/>
        <n v="142.19999999999999"/>
        <n v="138.9"/>
        <n v="140.80000000000001"/>
        <n v="142.4"/>
        <n v="139"/>
        <n v="141.9"/>
        <n v="140.1"/>
        <n v="141"/>
        <n v="139.6"/>
        <n v="138.6"/>
        <n v="139.9"/>
        <n v="141.19999999999999"/>
        <n v="139.5"/>
        <n v="141.5"/>
        <n v="142"/>
        <n v="143.6"/>
        <n v="142.9"/>
        <n v="144.9"/>
        <n v="143.30000000000001"/>
        <n v="144.19999999999999"/>
        <n v="145.69999999999999"/>
        <n v="145"/>
        <n v="146.69999999999999"/>
        <n v="144.69999999999999"/>
        <n v="145.80000000000001"/>
        <n v="148.30000000000001"/>
        <n v="146"/>
        <n v="147.19999999999999"/>
        <n v="149.9"/>
        <n v="147"/>
        <n v="148.6"/>
        <n v="152.30000000000001"/>
        <n v="150.4"/>
        <n v="151.9"/>
        <n v="148.19999999999999"/>
        <n v="150.19999999999999"/>
        <n v="147.69999999999999"/>
        <n v="149.1"/>
        <n v="149.80000000000001"/>
        <n v="147.30000000000001"/>
        <n v="152.69999999999999"/>
        <n v="150.80000000000001"/>
        <n v="151.80000000000001"/>
        <n v="154.69999999999999"/>
        <n v="152.9"/>
        <n v="153.9"/>
        <n v="155.4"/>
        <n v="154"/>
        <n v="157.5"/>
        <n v="155.19999999999999"/>
        <n v="156.4"/>
        <n v="159.80000000000001"/>
        <n v="156.69999999999999"/>
        <n v="158.4"/>
        <n v="160.69999999999999"/>
        <n v="156.9"/>
        <n v="158.9"/>
        <n v="158.5"/>
        <n v="156"/>
        <n v="157.30000000000001"/>
        <n v="156.5"/>
        <n v="156.6"/>
        <n v="156.80000000000001"/>
        <n v="157.6"/>
        <n v="158"/>
        <n v="157.80000000000001"/>
        <n v="161.1"/>
        <n v="159.5"/>
        <n v="160.4"/>
        <n v="162.1"/>
        <n v="161.30000000000001"/>
        <n v="163.19999999999999"/>
        <n v="161.80000000000001"/>
        <n v="162.5"/>
        <n v="163.6"/>
        <n v="162.30000000000001"/>
        <n v="164"/>
        <n v="166.3"/>
        <n v="164.6"/>
        <n v="165.5"/>
        <n v="167.6"/>
        <n v="165.6"/>
        <n v="166.7"/>
        <n v="167"/>
        <n v="165.2"/>
        <n v="166.2"/>
        <n v="166.4"/>
        <n v="165"/>
        <n v="165.7"/>
        <n v="166.1"/>
        <n v="168.7"/>
        <n v="166.5"/>
        <n v="167.7"/>
        <n v="170.8"/>
        <n v="169.2"/>
        <n v="170.1"/>
        <n v="172.5"/>
        <n v="171.7"/>
        <n v="173.6"/>
        <n v="171.4"/>
        <n v="172.6"/>
        <n v="174.3"/>
        <n v="172.3"/>
        <n v="173.4"/>
        <n v="175.3"/>
        <n v="173.1"/>
        <n v="176.4"/>
        <n v="174.1"/>
        <n v="177.9"/>
        <n v="176.7"/>
        <n v="177.8"/>
        <n v="176.5"/>
        <n v="177.1"/>
        <n v="175.7"/>
        <n v="174.9"/>
        <n v="178"/>
        <n v="176.3"/>
        <n v="177.2"/>
        <n v="178.8"/>
        <n v="177.4"/>
        <n v="178.1"/>
        <n v="179.8"/>
        <n v="178.2"/>
        <n v="179.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b pan" refreshedDate="46207.944425694448" createdVersion="8" refreshedVersion="8" minRefreshableVersion="3" recordCount="351" xr:uid="{9776181D-5898-4FFF-AF4B-90FE2D1785EF}">
  <cacheSource type="worksheet">
    <worksheetSource ref="AH1:AK358" sheet="All_India_Index_Upto_April23 (1"/>
  </cacheSource>
  <cacheFields count="4">
    <cacheField name="Sector" numFmtId="0">
      <sharedItems containsBlank="1" count="4">
        <m/>
        <s v="Rural"/>
        <s v="Urban"/>
        <s v="Rural+Urban"/>
      </sharedItems>
    </cacheField>
    <cacheField name="Year" numFmtId="0">
      <sharedItems containsString="0" containsBlank="1" containsNumber="1" containsInteger="1" minValue="2022" maxValue="2023" count="3">
        <n v="2022"/>
        <m/>
        <n v="2023"/>
      </sharedItems>
    </cacheField>
    <cacheField name="Month" numFmtId="0">
      <sharedItems containsBlank="1" count="13">
        <s v="June"/>
        <s v="July"/>
        <s v="August"/>
        <s v="September"/>
        <s v="October"/>
        <s v="November"/>
        <s v="December"/>
        <m/>
        <s v="January"/>
        <s v="February"/>
        <s v="March"/>
        <s v="April"/>
        <s v="May"/>
      </sharedItems>
    </cacheField>
    <cacheField name="Food and beverages" numFmtId="0">
      <sharedItems containsString="0" containsBlank="1" containsNumber="1" minValue="172.4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b pan" refreshedDate="46209.031647685188" createdVersion="8" refreshedVersion="8" minRefreshableVersion="3" recordCount="36" xr:uid="{8B9D476F-4010-46FE-89D5-4F213760F74F}">
  <cacheSource type="worksheet">
    <worksheetSource ref="AH323:AV359" sheet="All_India_Index_Upto_April23 (1"/>
  </cacheSource>
  <cacheFields count="15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June"/>
        <s v="July"/>
        <s v="August"/>
        <s v="September"/>
        <s v="October"/>
        <s v="November"/>
        <s v="December"/>
        <s v="January"/>
        <s v="February"/>
        <s v="March"/>
        <s v="April"/>
        <s v="May"/>
      </sharedItems>
    </cacheField>
    <cacheField name="Cereals and products" numFmtId="0">
      <sharedItems containsSemiMixedTypes="0" containsString="0" containsNumber="1" minValue="153.80000000000001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7.9" maxValue="197"/>
    </cacheField>
    <cacheField name="Milk and products" numFmtId="0">
      <sharedItems containsSemiMixedTypes="0" containsString="0" containsNumber="1" minValue="165.4" maxValue="179.6"/>
    </cacheField>
    <cacheField name="Oils and fats" numFmtId="0">
      <sharedItems containsSemiMixedTypes="0" containsString="0" containsNumber="1" minValue="164.4" maxValue="208.1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9.1" maxValue="124.2"/>
    </cacheField>
    <cacheField name="Spices" numFmtId="0">
      <sharedItems containsSemiMixedTypes="0" containsString="0" containsNumber="1" minValue="183.5" maxValue="221"/>
    </cacheField>
    <cacheField name="Non-alcoholic beverages" numFmtId="0">
      <sharedItems containsSemiMixedTypes="0" containsString="0" containsNumber="1" minValue="159.1" maxValue="178.7"/>
    </cacheField>
    <cacheField name="Prepared meals, snacks, sweets etc." numFmtId="0">
      <sharedItems containsSemiMixedTypes="0" containsString="0" containsNumber="1" minValue="181.9" maxValue="197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dab pan" refreshedDate="46208.596339236108" backgroundQuery="1" createdVersion="8" refreshedVersion="8" minRefreshableVersion="3" recordCount="0" supportSubquery="1" supportAdvancedDrill="1" xr:uid="{E8F7F742-8DB4-4E73-9F88-A4D02981A201}">
  <cacheSource type="external" connectionId="2"/>
  <cacheFields count="6">
    <cacheField name="[Range].[Year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</x15:cachedUniqueNames>
        </ext>
      </extLst>
    </cacheField>
    <cacheField name="[Range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Range].[Sector].[Sector]" caption="Sector" numFmtId="0" level="1">
      <sharedItems containsSemiMixedTypes="0" containsNonDate="0" containsString="0"/>
    </cacheField>
    <cacheField name="[Measures].[Sum of Fuel and light]" caption="Sum of Fuel and light" numFmtId="0" hierarchy="36" level="32767"/>
    <cacheField name="[Measures].[Sum of Transport and communication]" caption="Sum of Transport and communication" numFmtId="0" hierarchy="38" level="32767"/>
    <cacheField name="[Measures].[Sum of General index]" caption="Sum of General index" numFmtId="0" hierarchy="40" level="32767"/>
  </cacheFields>
  <cacheHierarchies count="42"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ereals and products]" caption="Cereals and products" attribute="1" defaultMemberUniqueName="[Range].[Cereals and products].[All]" allUniqueName="[Range].[Cereals and products].[All]" dimensionUniqueName="[Range]" displayFolder="" count="0" memberValueDatatype="5" unbalanced="0"/>
    <cacheHierarchy uniqueName="[Range].[Meat and fish]" caption="Meat and fish" attribute="1" defaultMemberUniqueName="[Range].[Meat and fish].[All]" allUniqueName="[Range].[Meat and fish].[All]" dimensionUniqueName="[Range]" displayFolder="" count="0" memberValueDatatype="5" unbalanced="0"/>
    <cacheHierarchy uniqueName="[Range].[Egg]" caption="Egg" attribute="1" defaultMemberUniqueName="[Range].[Egg].[All]" allUniqueName="[Range].[Egg].[All]" dimensionUniqueName="[Range]" displayFolder="" count="0" memberValueDatatype="5" unbalanced="0"/>
    <cacheHierarchy uniqueName="[Range].[Milk and products]" caption="Milk and products" attribute="1" defaultMemberUniqueName="[Range].[Milk and products].[All]" allUniqueName="[Range].[Milk and products].[All]" dimensionUniqueName="[Range]" displayFolder="" count="0" memberValueDatatype="5" unbalanced="0"/>
    <cacheHierarchy uniqueName="[Range].[Oils and fats]" caption="Oils and fats" attribute="1" defaultMemberUniqueName="[Range].[Oils and fats].[All]" allUniqueName="[Range].[Oils and fats].[All]" dimensionUniqueName="[Range]" displayFolder="" count="0" memberValueDatatype="5" unbalanced="0"/>
    <cacheHierarchy uniqueName="[Range].[Fruits]" caption="Fruits" attribute="1" defaultMemberUniqueName="[Range].[Fruits].[All]" allUniqueName="[Range].[Fruits].[All]" dimensionUniqueName="[Range]" displayFolder="" count="0" memberValueDatatype="5" unbalanced="0"/>
    <cacheHierarchy uniqueName="[Range].[Vegetables]" caption="Vegetables" attribute="1" defaultMemberUniqueName="[Range].[Vegetables].[All]" allUniqueName="[Range].[Vegetables].[All]" dimensionUniqueName="[Range]" displayFolder="" count="0" memberValueDatatype="5" unbalanced="0"/>
    <cacheHierarchy uniqueName="[Range].[Pulses and products]" caption="Pulses and products" attribute="1" defaultMemberUniqueName="[Range].[Pulses and products].[All]" allUniqueName="[Range].[Pulses and products].[All]" dimensionUniqueName="[Range]" displayFolder="" count="0" memberValueDatatype="5" unbalanced="0"/>
    <cacheHierarchy uniqueName="[Range].[Sugar and Confectionery]" caption="Sugar and Confectionery" attribute="1" defaultMemberUniqueName="[Range].[Sugar and Confectionery].[All]" allUniqueName="[Range].[Sugar and Confectionery].[All]" dimensionUniqueName="[Range]" displayFolder="" count="0" memberValueDatatype="5" unbalanced="0"/>
    <cacheHierarchy uniqueName="[Range].[Spices]" caption="Spices" attribute="1" defaultMemberUniqueName="[Range].[Spices].[All]" allUniqueName="[Range].[Spices].[All]" dimensionUniqueName="[Range]" displayFolder="" count="0" memberValueDatatype="5" unbalanced="0"/>
    <cacheHierarchy uniqueName="[Range].[Non-alcoholic beverages]" caption="Non-alcoholic beverages" attribute="1" defaultMemberUniqueName="[Range].[Non-alcoholic beverages].[All]" allUniqueName="[Range].[Non-alcoholic beverages].[All]" dimensionUniqueName="[Range]" displayFolder="" count="0" memberValueDatatype="5" unbalanced="0"/>
    <cacheHierarchy uniqueName="[Range].[Prepared meals, snacks, sweets etc.]" caption="Prepared meals, snacks, sweets etc." attribute="1" defaultMemberUniqueName="[Range].[Prepared meals, snacks, sweets etc.].[All]" allUniqueName="[Range].[Prepared meals, snacks, sweets etc.].[All]" dimensionUniqueName="[Range]" displayFolder="" count="0" memberValueDatatype="5" unbalanced="0"/>
    <cacheHierarchy uniqueName="[Range].[Food and beverages]" caption="Food and beverages" attribute="1" defaultMemberUniqueName="[Range].[Food and beverages].[All]" allUniqueName="[Range].[Food and beverages].[All]" dimensionUniqueName="[Range]" displayFolder="" count="0" memberValueDatatype="5" unbalanced="0"/>
    <cacheHierarchy uniqueName="[Range].[Pan, tobacco and intoxicants]" caption="Pan, tobacco and intoxicants" attribute="1" defaultMemberUniqueName="[Range].[Pan, tobacco and intoxicants].[All]" allUniqueName="[Range].[Pan, tobacco and intoxicants].[All]" dimensionUniqueName="[Range]" displayFolder="" count="0" memberValueDatatype="5" unbalanced="0"/>
    <cacheHierarchy uniqueName="[Range].[Clothing]" caption="Clothing" attribute="1" defaultMemberUniqueName="[Range].[Clothing].[All]" allUniqueName="[Range].[Clothing].[All]" dimensionUniqueName="[Range]" displayFolder="" count="0" memberValueDatatype="5" unbalanced="0"/>
    <cacheHierarchy uniqueName="[Range].[Footwear]" caption="Footwear" attribute="1" defaultMemberUniqueName="[Range].[Footwear].[All]" allUniqueName="[Range].[Footwear].[All]" dimensionUniqueName="[Range]" displayFolder="" count="0" memberValueDatatype="5" unbalanced="0"/>
    <cacheHierarchy uniqueName="[Range].[Clothing and footwear]" caption="Clothing and footwear" attribute="1" defaultMemberUniqueName="[Range].[Clothing and footwear].[All]" allUniqueName="[Range].[Clothing and footwear].[All]" dimensionUniqueName="[Range]" displayFolder="" count="0" memberValueDatatype="5" unbalanced="0"/>
    <cacheHierarchy uniqueName="[Range].[Housing]" caption="Housing" attribute="1" defaultMemberUniqueName="[Range].[Housing].[All]" allUniqueName="[Range].[Housing].[All]" dimensionUniqueName="[Range]" displayFolder="" count="0" memberValueDatatype="130" unbalanced="0"/>
    <cacheHierarchy uniqueName="[Range].[Fuel and light]" caption="Fuel and light" attribute="1" defaultMemberUniqueName="[Range].[Fuel and light].[All]" allUniqueName="[Range].[Fuel and light].[All]" dimensionUniqueName="[Range]" displayFolder="" count="0" memberValueDatatype="5" unbalanced="0"/>
    <cacheHierarchy uniqueName="[Range].[Household goods and services]" caption="Household goods and services" attribute="1" defaultMemberUniqueName="[Range].[Household goods and services].[All]" allUniqueName="[Range].[Household goods and services].[All]" dimensionUniqueName="[Range]" displayFolder="" count="0" memberValueDatatype="5" unbalanced="0"/>
    <cacheHierarchy uniqueName="[Range].[Health]" caption="Health" attribute="1" defaultMemberUniqueName="[Range].[Health].[All]" allUniqueName="[Range].[Health].[All]" dimensionUniqueName="[Range]" displayFolder="" count="0" memberValueDatatype="5" unbalanced="0"/>
    <cacheHierarchy uniqueName="[Range].[Transport and communication]" caption="Transport and communication" attribute="1" defaultMemberUniqueName="[Range].[Transport and communication].[All]" allUniqueName="[Range].[Transport and communication].[All]" dimensionUniqueName="[Range]" displayFolder="" count="0" memberValueDatatype="5" unbalanced="0"/>
    <cacheHierarchy uniqueName="[Range].[Recreation and amusement]" caption="Recreation and amusement" attribute="1" defaultMemberUniqueName="[Range].[Recreation and amusement].[All]" allUniqueName="[Range].[Recreation and amusement].[All]" dimensionUniqueName="[Range]" displayFolder="" count="0" memberValueDatatype="5" unbalanced="0"/>
    <cacheHierarchy uniqueName="[Range].[Education]" caption="Education" attribute="1" defaultMemberUniqueName="[Range].[Education].[All]" allUniqueName="[Range].[Education].[All]" dimensionUniqueName="[Range]" displayFolder="" count="0" memberValueDatatype="5" unbalanced="0"/>
    <cacheHierarchy uniqueName="[Range].[Personal care and effects]" caption="Personal care and effects" attribute="1" defaultMemberUniqueName="[Range].[Personal care and effects].[All]" allUniqueName="[Range].[Personal care and effects].[All]" dimensionUniqueName="[Range]" displayFolder="" count="0" memberValueDatatype="5" unbalanced="0"/>
    <cacheHierarchy uniqueName="[Range].[Miscellaneous]" caption="Miscellaneous" attribute="1" defaultMemberUniqueName="[Range].[Miscellaneous].[All]" allUniqueName="[Range].[Miscellaneous].[All]" dimensionUniqueName="[Range]" displayFolder="" count="0" memberValueDatatype="5" unbalanced="0"/>
    <cacheHierarchy uniqueName="[Range].[General index]" caption="General index" attribute="1" defaultMemberUniqueName="[Range].[General index].[All]" allUniqueName="[Range].[General index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ood and beverages]" caption="Sum of Food and bevera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an, tobacco and intoxicants]" caption="Sum of Pan, tobacco and intoxicants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lothing and footwear]" caption="Sum of Clothing and footwear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uel and light]" caption="Sum of Fuel and ligh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ealth]" caption="Sum of Health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port and communication]" caption="Sum of Transport and communication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General index]" caption="Sum of General index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Rang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dab pan" refreshedDate="46208.594746759256" backgroundQuery="1" createdVersion="8" refreshedVersion="8" minRefreshableVersion="3" recordCount="0" supportSubquery="1" supportAdvancedDrill="1" xr:uid="{CA470D1F-F241-4145-9BFA-A04E2A78215F}">
  <cacheSource type="external" connectionId="2"/>
  <cacheFields count="6">
    <cacheField name="[Range].[Year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</x15:cachedUniqueNames>
        </ext>
      </extLst>
    </cacheField>
    <cacheField name="[Range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Range].[Sector].[Sector]" caption="Sector" numFmtId="0" level="1">
      <sharedItems containsSemiMixedTypes="0" containsNonDate="0" containsString="0"/>
    </cacheField>
    <cacheField name="[Measures].[Sum of Fuel and light]" caption="Sum of Fuel and light" numFmtId="0" hierarchy="36" level="32767"/>
    <cacheField name="[Measures].[Sum of Transport and communication]" caption="Sum of Transport and communication" numFmtId="0" hierarchy="38" level="32767"/>
    <cacheField name="[Measures].[Sum of General index]" caption="Sum of General index" numFmtId="0" hierarchy="40" level="32767"/>
  </cacheFields>
  <cacheHierarchies count="42"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ereals and products]" caption="Cereals and products" attribute="1" defaultMemberUniqueName="[Range].[Cereals and products].[All]" allUniqueName="[Range].[Cereals and products].[All]" dimensionUniqueName="[Range]" displayFolder="" count="0" memberValueDatatype="5" unbalanced="0"/>
    <cacheHierarchy uniqueName="[Range].[Meat and fish]" caption="Meat and fish" attribute="1" defaultMemberUniqueName="[Range].[Meat and fish].[All]" allUniqueName="[Range].[Meat and fish].[All]" dimensionUniqueName="[Range]" displayFolder="" count="0" memberValueDatatype="5" unbalanced="0"/>
    <cacheHierarchy uniqueName="[Range].[Egg]" caption="Egg" attribute="1" defaultMemberUniqueName="[Range].[Egg].[All]" allUniqueName="[Range].[Egg].[All]" dimensionUniqueName="[Range]" displayFolder="" count="0" memberValueDatatype="5" unbalanced="0"/>
    <cacheHierarchy uniqueName="[Range].[Milk and products]" caption="Milk and products" attribute="1" defaultMemberUniqueName="[Range].[Milk and products].[All]" allUniqueName="[Range].[Milk and products].[All]" dimensionUniqueName="[Range]" displayFolder="" count="0" memberValueDatatype="5" unbalanced="0"/>
    <cacheHierarchy uniqueName="[Range].[Oils and fats]" caption="Oils and fats" attribute="1" defaultMemberUniqueName="[Range].[Oils and fats].[All]" allUniqueName="[Range].[Oils and fats].[All]" dimensionUniqueName="[Range]" displayFolder="" count="0" memberValueDatatype="5" unbalanced="0"/>
    <cacheHierarchy uniqueName="[Range].[Fruits]" caption="Fruits" attribute="1" defaultMemberUniqueName="[Range].[Fruits].[All]" allUniqueName="[Range].[Fruits].[All]" dimensionUniqueName="[Range]" displayFolder="" count="0" memberValueDatatype="5" unbalanced="0"/>
    <cacheHierarchy uniqueName="[Range].[Vegetables]" caption="Vegetables" attribute="1" defaultMemberUniqueName="[Range].[Vegetables].[All]" allUniqueName="[Range].[Vegetables].[All]" dimensionUniqueName="[Range]" displayFolder="" count="0" memberValueDatatype="5" unbalanced="0"/>
    <cacheHierarchy uniqueName="[Range].[Pulses and products]" caption="Pulses and products" attribute="1" defaultMemberUniqueName="[Range].[Pulses and products].[All]" allUniqueName="[Range].[Pulses and products].[All]" dimensionUniqueName="[Range]" displayFolder="" count="0" memberValueDatatype="5" unbalanced="0"/>
    <cacheHierarchy uniqueName="[Range].[Sugar and Confectionery]" caption="Sugar and Confectionery" attribute="1" defaultMemberUniqueName="[Range].[Sugar and Confectionery].[All]" allUniqueName="[Range].[Sugar and Confectionery].[All]" dimensionUniqueName="[Range]" displayFolder="" count="0" memberValueDatatype="5" unbalanced="0"/>
    <cacheHierarchy uniqueName="[Range].[Spices]" caption="Spices" attribute="1" defaultMemberUniqueName="[Range].[Spices].[All]" allUniqueName="[Range].[Spices].[All]" dimensionUniqueName="[Range]" displayFolder="" count="0" memberValueDatatype="5" unbalanced="0"/>
    <cacheHierarchy uniqueName="[Range].[Non-alcoholic beverages]" caption="Non-alcoholic beverages" attribute="1" defaultMemberUniqueName="[Range].[Non-alcoholic beverages].[All]" allUniqueName="[Range].[Non-alcoholic beverages].[All]" dimensionUniqueName="[Range]" displayFolder="" count="0" memberValueDatatype="5" unbalanced="0"/>
    <cacheHierarchy uniqueName="[Range].[Prepared meals, snacks, sweets etc.]" caption="Prepared meals, snacks, sweets etc." attribute="1" defaultMemberUniqueName="[Range].[Prepared meals, snacks, sweets etc.].[All]" allUniqueName="[Range].[Prepared meals, snacks, sweets etc.].[All]" dimensionUniqueName="[Range]" displayFolder="" count="0" memberValueDatatype="5" unbalanced="0"/>
    <cacheHierarchy uniqueName="[Range].[Food and beverages]" caption="Food and beverages" attribute="1" defaultMemberUniqueName="[Range].[Food and beverages].[All]" allUniqueName="[Range].[Food and beverages].[All]" dimensionUniqueName="[Range]" displayFolder="" count="0" memberValueDatatype="5" unbalanced="0"/>
    <cacheHierarchy uniqueName="[Range].[Pan, tobacco and intoxicants]" caption="Pan, tobacco and intoxicants" attribute="1" defaultMemberUniqueName="[Range].[Pan, tobacco and intoxicants].[All]" allUniqueName="[Range].[Pan, tobacco and intoxicants].[All]" dimensionUniqueName="[Range]" displayFolder="" count="0" memberValueDatatype="5" unbalanced="0"/>
    <cacheHierarchy uniqueName="[Range].[Clothing]" caption="Clothing" attribute="1" defaultMemberUniqueName="[Range].[Clothing].[All]" allUniqueName="[Range].[Clothing].[All]" dimensionUniqueName="[Range]" displayFolder="" count="0" memberValueDatatype="5" unbalanced="0"/>
    <cacheHierarchy uniqueName="[Range].[Footwear]" caption="Footwear" attribute="1" defaultMemberUniqueName="[Range].[Footwear].[All]" allUniqueName="[Range].[Footwear].[All]" dimensionUniqueName="[Range]" displayFolder="" count="0" memberValueDatatype="5" unbalanced="0"/>
    <cacheHierarchy uniqueName="[Range].[Clothing and footwear]" caption="Clothing and footwear" attribute="1" defaultMemberUniqueName="[Range].[Clothing and footwear].[All]" allUniqueName="[Range].[Clothing and footwear].[All]" dimensionUniqueName="[Range]" displayFolder="" count="0" memberValueDatatype="5" unbalanced="0"/>
    <cacheHierarchy uniqueName="[Range].[Housing]" caption="Housing" attribute="1" defaultMemberUniqueName="[Range].[Housing].[All]" allUniqueName="[Range].[Housing].[All]" dimensionUniqueName="[Range]" displayFolder="" count="0" memberValueDatatype="130" unbalanced="0"/>
    <cacheHierarchy uniqueName="[Range].[Fuel and light]" caption="Fuel and light" attribute="1" defaultMemberUniqueName="[Range].[Fuel and light].[All]" allUniqueName="[Range].[Fuel and light].[All]" dimensionUniqueName="[Range]" displayFolder="" count="0" memberValueDatatype="5" unbalanced="0"/>
    <cacheHierarchy uniqueName="[Range].[Household goods and services]" caption="Household goods and services" attribute="1" defaultMemberUniqueName="[Range].[Household goods and services].[All]" allUniqueName="[Range].[Household goods and services].[All]" dimensionUniqueName="[Range]" displayFolder="" count="0" memberValueDatatype="5" unbalanced="0"/>
    <cacheHierarchy uniqueName="[Range].[Health]" caption="Health" attribute="1" defaultMemberUniqueName="[Range].[Health].[All]" allUniqueName="[Range].[Health].[All]" dimensionUniqueName="[Range]" displayFolder="" count="0" memberValueDatatype="5" unbalanced="0"/>
    <cacheHierarchy uniqueName="[Range].[Transport and communication]" caption="Transport and communication" attribute="1" defaultMemberUniqueName="[Range].[Transport and communication].[All]" allUniqueName="[Range].[Transport and communication].[All]" dimensionUniqueName="[Range]" displayFolder="" count="0" memberValueDatatype="5" unbalanced="0"/>
    <cacheHierarchy uniqueName="[Range].[Recreation and amusement]" caption="Recreation and amusement" attribute="1" defaultMemberUniqueName="[Range].[Recreation and amusement].[All]" allUniqueName="[Range].[Recreation and amusement].[All]" dimensionUniqueName="[Range]" displayFolder="" count="0" memberValueDatatype="5" unbalanced="0"/>
    <cacheHierarchy uniqueName="[Range].[Education]" caption="Education" attribute="1" defaultMemberUniqueName="[Range].[Education].[All]" allUniqueName="[Range].[Education].[All]" dimensionUniqueName="[Range]" displayFolder="" count="0" memberValueDatatype="5" unbalanced="0"/>
    <cacheHierarchy uniqueName="[Range].[Personal care and effects]" caption="Personal care and effects" attribute="1" defaultMemberUniqueName="[Range].[Personal care and effects].[All]" allUniqueName="[Range].[Personal care and effects].[All]" dimensionUniqueName="[Range]" displayFolder="" count="0" memberValueDatatype="5" unbalanced="0"/>
    <cacheHierarchy uniqueName="[Range].[Miscellaneous]" caption="Miscellaneous" attribute="1" defaultMemberUniqueName="[Range].[Miscellaneous].[All]" allUniqueName="[Range].[Miscellaneous].[All]" dimensionUniqueName="[Range]" displayFolder="" count="0" memberValueDatatype="5" unbalanced="0"/>
    <cacheHierarchy uniqueName="[Range].[General index]" caption="General index" attribute="1" defaultMemberUniqueName="[Range].[General index].[All]" allUniqueName="[Range].[General index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ood and beverages]" caption="Sum of Food and bevera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an, tobacco and intoxicants]" caption="Sum of Pan, tobacco and intoxicants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lothing and footwear]" caption="Sum of Clothing and footwear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uel and light]" caption="Sum of Fuel and ligh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ealth]" caption="Sum of Health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port and communication]" caption="Sum of Transport and communication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General index]" caption="Sum of General index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Rang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dab pan" refreshedDate="46208.597647337963" backgroundQuery="1" createdVersion="8" refreshedVersion="8" minRefreshableVersion="3" recordCount="0" supportSubquery="1" supportAdvancedDrill="1" xr:uid="{13D33926-F79F-4732-A105-C517048EAE63}">
  <cacheSource type="external" connectionId="2"/>
  <cacheFields count="6">
    <cacheField name="[Range].[Year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</x15:cachedUniqueNames>
        </ext>
      </extLst>
    </cacheField>
    <cacheField name="[Range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Range].[Sector].[Sector]" caption="Sector" numFmtId="0" level="1">
      <sharedItems containsSemiMixedTypes="0" containsNonDate="0" containsString="0"/>
    </cacheField>
    <cacheField name="[Measures].[Sum of Fuel and light]" caption="Sum of Fuel and light" numFmtId="0" hierarchy="36" level="32767"/>
    <cacheField name="[Measures].[Sum of Transport and communication]" caption="Sum of Transport and communication" numFmtId="0" hierarchy="38" level="32767"/>
    <cacheField name="[Measures].[Sum of General index]" caption="Sum of General index" numFmtId="0" hierarchy="40" level="32767"/>
  </cacheFields>
  <cacheHierarchies count="42"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ereals and products]" caption="Cereals and products" attribute="1" defaultMemberUniqueName="[Range].[Cereals and products].[All]" allUniqueName="[Range].[Cereals and products].[All]" dimensionUniqueName="[Range]" displayFolder="" count="0" memberValueDatatype="5" unbalanced="0"/>
    <cacheHierarchy uniqueName="[Range].[Meat and fish]" caption="Meat and fish" attribute="1" defaultMemberUniqueName="[Range].[Meat and fish].[All]" allUniqueName="[Range].[Meat and fish].[All]" dimensionUniqueName="[Range]" displayFolder="" count="0" memberValueDatatype="5" unbalanced="0"/>
    <cacheHierarchy uniqueName="[Range].[Egg]" caption="Egg" attribute="1" defaultMemberUniqueName="[Range].[Egg].[All]" allUniqueName="[Range].[Egg].[All]" dimensionUniqueName="[Range]" displayFolder="" count="0" memberValueDatatype="5" unbalanced="0"/>
    <cacheHierarchy uniqueName="[Range].[Milk and products]" caption="Milk and products" attribute="1" defaultMemberUniqueName="[Range].[Milk and products].[All]" allUniqueName="[Range].[Milk and products].[All]" dimensionUniqueName="[Range]" displayFolder="" count="0" memberValueDatatype="5" unbalanced="0"/>
    <cacheHierarchy uniqueName="[Range].[Oils and fats]" caption="Oils and fats" attribute="1" defaultMemberUniqueName="[Range].[Oils and fats].[All]" allUniqueName="[Range].[Oils and fats].[All]" dimensionUniqueName="[Range]" displayFolder="" count="0" memberValueDatatype="5" unbalanced="0"/>
    <cacheHierarchy uniqueName="[Range].[Fruits]" caption="Fruits" attribute="1" defaultMemberUniqueName="[Range].[Fruits].[All]" allUniqueName="[Range].[Fruits].[All]" dimensionUniqueName="[Range]" displayFolder="" count="0" memberValueDatatype="5" unbalanced="0"/>
    <cacheHierarchy uniqueName="[Range].[Vegetables]" caption="Vegetables" attribute="1" defaultMemberUniqueName="[Range].[Vegetables].[All]" allUniqueName="[Range].[Vegetables].[All]" dimensionUniqueName="[Range]" displayFolder="" count="0" memberValueDatatype="5" unbalanced="0"/>
    <cacheHierarchy uniqueName="[Range].[Pulses and products]" caption="Pulses and products" attribute="1" defaultMemberUniqueName="[Range].[Pulses and products].[All]" allUniqueName="[Range].[Pulses and products].[All]" dimensionUniqueName="[Range]" displayFolder="" count="0" memberValueDatatype="5" unbalanced="0"/>
    <cacheHierarchy uniqueName="[Range].[Sugar and Confectionery]" caption="Sugar and Confectionery" attribute="1" defaultMemberUniqueName="[Range].[Sugar and Confectionery].[All]" allUniqueName="[Range].[Sugar and Confectionery].[All]" dimensionUniqueName="[Range]" displayFolder="" count="0" memberValueDatatype="5" unbalanced="0"/>
    <cacheHierarchy uniqueName="[Range].[Spices]" caption="Spices" attribute="1" defaultMemberUniqueName="[Range].[Spices].[All]" allUniqueName="[Range].[Spices].[All]" dimensionUniqueName="[Range]" displayFolder="" count="0" memberValueDatatype="5" unbalanced="0"/>
    <cacheHierarchy uniqueName="[Range].[Non-alcoholic beverages]" caption="Non-alcoholic beverages" attribute="1" defaultMemberUniqueName="[Range].[Non-alcoholic beverages].[All]" allUniqueName="[Range].[Non-alcoholic beverages].[All]" dimensionUniqueName="[Range]" displayFolder="" count="0" memberValueDatatype="5" unbalanced="0"/>
    <cacheHierarchy uniqueName="[Range].[Prepared meals, snacks, sweets etc.]" caption="Prepared meals, snacks, sweets etc." attribute="1" defaultMemberUniqueName="[Range].[Prepared meals, snacks, sweets etc.].[All]" allUniqueName="[Range].[Prepared meals, snacks, sweets etc.].[All]" dimensionUniqueName="[Range]" displayFolder="" count="0" memberValueDatatype="5" unbalanced="0"/>
    <cacheHierarchy uniqueName="[Range].[Food and beverages]" caption="Food and beverages" attribute="1" defaultMemberUniqueName="[Range].[Food and beverages].[All]" allUniqueName="[Range].[Food and beverages].[All]" dimensionUniqueName="[Range]" displayFolder="" count="0" memberValueDatatype="5" unbalanced="0"/>
    <cacheHierarchy uniqueName="[Range].[Pan, tobacco and intoxicants]" caption="Pan, tobacco and intoxicants" attribute="1" defaultMemberUniqueName="[Range].[Pan, tobacco and intoxicants].[All]" allUniqueName="[Range].[Pan, tobacco and intoxicants].[All]" dimensionUniqueName="[Range]" displayFolder="" count="0" memberValueDatatype="5" unbalanced="0"/>
    <cacheHierarchy uniqueName="[Range].[Clothing]" caption="Clothing" attribute="1" defaultMemberUniqueName="[Range].[Clothing].[All]" allUniqueName="[Range].[Clothing].[All]" dimensionUniqueName="[Range]" displayFolder="" count="0" memberValueDatatype="5" unbalanced="0"/>
    <cacheHierarchy uniqueName="[Range].[Footwear]" caption="Footwear" attribute="1" defaultMemberUniqueName="[Range].[Footwear].[All]" allUniqueName="[Range].[Footwear].[All]" dimensionUniqueName="[Range]" displayFolder="" count="0" memberValueDatatype="5" unbalanced="0"/>
    <cacheHierarchy uniqueName="[Range].[Clothing and footwear]" caption="Clothing and footwear" attribute="1" defaultMemberUniqueName="[Range].[Clothing and footwear].[All]" allUniqueName="[Range].[Clothing and footwear].[All]" dimensionUniqueName="[Range]" displayFolder="" count="0" memberValueDatatype="5" unbalanced="0"/>
    <cacheHierarchy uniqueName="[Range].[Housing]" caption="Housing" attribute="1" defaultMemberUniqueName="[Range].[Housing].[All]" allUniqueName="[Range].[Housing].[All]" dimensionUniqueName="[Range]" displayFolder="" count="0" memberValueDatatype="130" unbalanced="0"/>
    <cacheHierarchy uniqueName="[Range].[Fuel and light]" caption="Fuel and light" attribute="1" defaultMemberUniqueName="[Range].[Fuel and light].[All]" allUniqueName="[Range].[Fuel and light].[All]" dimensionUniqueName="[Range]" displayFolder="" count="0" memberValueDatatype="5" unbalanced="0"/>
    <cacheHierarchy uniqueName="[Range].[Household goods and services]" caption="Household goods and services" attribute="1" defaultMemberUniqueName="[Range].[Household goods and services].[All]" allUniqueName="[Range].[Household goods and services].[All]" dimensionUniqueName="[Range]" displayFolder="" count="0" memberValueDatatype="5" unbalanced="0"/>
    <cacheHierarchy uniqueName="[Range].[Health]" caption="Health" attribute="1" defaultMemberUniqueName="[Range].[Health].[All]" allUniqueName="[Range].[Health].[All]" dimensionUniqueName="[Range]" displayFolder="" count="0" memberValueDatatype="5" unbalanced="0"/>
    <cacheHierarchy uniqueName="[Range].[Transport and communication]" caption="Transport and communication" attribute="1" defaultMemberUniqueName="[Range].[Transport and communication].[All]" allUniqueName="[Range].[Transport and communication].[All]" dimensionUniqueName="[Range]" displayFolder="" count="0" memberValueDatatype="5" unbalanced="0"/>
    <cacheHierarchy uniqueName="[Range].[Recreation and amusement]" caption="Recreation and amusement" attribute="1" defaultMemberUniqueName="[Range].[Recreation and amusement].[All]" allUniqueName="[Range].[Recreation and amusement].[All]" dimensionUniqueName="[Range]" displayFolder="" count="0" memberValueDatatype="5" unbalanced="0"/>
    <cacheHierarchy uniqueName="[Range].[Education]" caption="Education" attribute="1" defaultMemberUniqueName="[Range].[Education].[All]" allUniqueName="[Range].[Education].[All]" dimensionUniqueName="[Range]" displayFolder="" count="0" memberValueDatatype="5" unbalanced="0"/>
    <cacheHierarchy uniqueName="[Range].[Personal care and effects]" caption="Personal care and effects" attribute="1" defaultMemberUniqueName="[Range].[Personal care and effects].[All]" allUniqueName="[Range].[Personal care and effects].[All]" dimensionUniqueName="[Range]" displayFolder="" count="0" memberValueDatatype="5" unbalanced="0"/>
    <cacheHierarchy uniqueName="[Range].[Miscellaneous]" caption="Miscellaneous" attribute="1" defaultMemberUniqueName="[Range].[Miscellaneous].[All]" allUniqueName="[Range].[Miscellaneous].[All]" dimensionUniqueName="[Range]" displayFolder="" count="0" memberValueDatatype="5" unbalanced="0"/>
    <cacheHierarchy uniqueName="[Range].[General index]" caption="General index" attribute="1" defaultMemberUniqueName="[Range].[General index].[All]" allUniqueName="[Range].[General index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ood and beverages]" caption="Sum of Food and beverages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an, tobacco and intoxicants]" caption="Sum of Pan, tobacco and intoxicants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lothing and footwear]" caption="Sum of Clothing and footwear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uel and light]" caption="Sum of Fuel and ligh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ealth]" caption="Sum of Health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port and communication]" caption="Sum of Transport and communication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General index]" caption="Sum of General index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Rang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dab pan" refreshedDate="46211.812650925924" backgroundQuery="1" createdVersion="8" refreshedVersion="8" minRefreshableVersion="3" recordCount="0" supportSubquery="1" supportAdvancedDrill="1" xr:uid="{801E2E3E-E643-4285-A32C-06CBDFD7969C}">
  <cacheSource type="external" connectionId="2"/>
  <cacheFields count="9">
    <cacheField name="[Range].[Year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</x15:cachedUniqueNames>
        </ext>
      </extLst>
    </cacheField>
    <cacheField name="[Range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Range].[Sector].[Sector]" caption="Sector" numFmtId="0" level="1">
      <sharedItems containsSemiMixedTypes="0" containsNonDate="0" containsString="0"/>
    </cacheField>
    <cacheField name="[Measures].[Sum of Food and beverages]" caption="Sum of Food and beverages" numFmtId="0" hierarchy="33" level="32767"/>
    <cacheField name="[Measures].[Sum of Pan, tobacco and intoxicants]" caption="Sum of Pan, tobacco and intoxicants" numFmtId="0" hierarchy="34" level="32767"/>
    <cacheField name="[Measures].[Sum of Clothing and footwear]" caption="Sum of Clothing and footwear" numFmtId="0" hierarchy="35" level="32767"/>
    <cacheField name="[Measures].[Sum of Fuel and light]" caption="Sum of Fuel and light" numFmtId="0" hierarchy="36" level="32767"/>
    <cacheField name="[Measures].[Sum of Transport and communication]" caption="Sum of Transport and communication" numFmtId="0" hierarchy="38" level="32767"/>
    <cacheField name="[Measures].[Sum of Miscellaneous]" caption="Sum of Miscellaneous" numFmtId="0" hierarchy="41" level="32767"/>
  </cacheFields>
  <cacheHierarchies count="42"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ereals and products]" caption="Cereals and products" attribute="1" defaultMemberUniqueName="[Range].[Cereals and products].[All]" allUniqueName="[Range].[Cereals and products].[All]" dimensionUniqueName="[Range]" displayFolder="" count="0" memberValueDatatype="5" unbalanced="0"/>
    <cacheHierarchy uniqueName="[Range].[Meat and fish]" caption="Meat and fish" attribute="1" defaultMemberUniqueName="[Range].[Meat and fish].[All]" allUniqueName="[Range].[Meat and fish].[All]" dimensionUniqueName="[Range]" displayFolder="" count="0" memberValueDatatype="5" unbalanced="0"/>
    <cacheHierarchy uniqueName="[Range].[Egg]" caption="Egg" attribute="1" defaultMemberUniqueName="[Range].[Egg].[All]" allUniqueName="[Range].[Egg].[All]" dimensionUniqueName="[Range]" displayFolder="" count="0" memberValueDatatype="5" unbalanced="0"/>
    <cacheHierarchy uniqueName="[Range].[Milk and products]" caption="Milk and products" attribute="1" defaultMemberUniqueName="[Range].[Milk and products].[All]" allUniqueName="[Range].[Milk and products].[All]" dimensionUniqueName="[Range]" displayFolder="" count="0" memberValueDatatype="5" unbalanced="0"/>
    <cacheHierarchy uniqueName="[Range].[Oils and fats]" caption="Oils and fats" attribute="1" defaultMemberUniqueName="[Range].[Oils and fats].[All]" allUniqueName="[Range].[Oils and fats].[All]" dimensionUniqueName="[Range]" displayFolder="" count="0" memberValueDatatype="5" unbalanced="0"/>
    <cacheHierarchy uniqueName="[Range].[Fruits]" caption="Fruits" attribute="1" defaultMemberUniqueName="[Range].[Fruits].[All]" allUniqueName="[Range].[Fruits].[All]" dimensionUniqueName="[Range]" displayFolder="" count="0" memberValueDatatype="5" unbalanced="0"/>
    <cacheHierarchy uniqueName="[Range].[Vegetables]" caption="Vegetables" attribute="1" defaultMemberUniqueName="[Range].[Vegetables].[All]" allUniqueName="[Range].[Vegetables].[All]" dimensionUniqueName="[Range]" displayFolder="" count="0" memberValueDatatype="5" unbalanced="0"/>
    <cacheHierarchy uniqueName="[Range].[Pulses and products]" caption="Pulses and products" attribute="1" defaultMemberUniqueName="[Range].[Pulses and products].[All]" allUniqueName="[Range].[Pulses and products].[All]" dimensionUniqueName="[Range]" displayFolder="" count="0" memberValueDatatype="5" unbalanced="0"/>
    <cacheHierarchy uniqueName="[Range].[Sugar and Confectionery]" caption="Sugar and Confectionery" attribute="1" defaultMemberUniqueName="[Range].[Sugar and Confectionery].[All]" allUniqueName="[Range].[Sugar and Confectionery].[All]" dimensionUniqueName="[Range]" displayFolder="" count="0" memberValueDatatype="5" unbalanced="0"/>
    <cacheHierarchy uniqueName="[Range].[Spices]" caption="Spices" attribute="1" defaultMemberUniqueName="[Range].[Spices].[All]" allUniqueName="[Range].[Spices].[All]" dimensionUniqueName="[Range]" displayFolder="" count="0" memberValueDatatype="5" unbalanced="0"/>
    <cacheHierarchy uniqueName="[Range].[Non-alcoholic beverages]" caption="Non-alcoholic beverages" attribute="1" defaultMemberUniqueName="[Range].[Non-alcoholic beverages].[All]" allUniqueName="[Range].[Non-alcoholic beverages].[All]" dimensionUniqueName="[Range]" displayFolder="" count="0" memberValueDatatype="5" unbalanced="0"/>
    <cacheHierarchy uniqueName="[Range].[Prepared meals, snacks, sweets etc.]" caption="Prepared meals, snacks, sweets etc." attribute="1" defaultMemberUniqueName="[Range].[Prepared meals, snacks, sweets etc.].[All]" allUniqueName="[Range].[Prepared meals, snacks, sweets etc.].[All]" dimensionUniqueName="[Range]" displayFolder="" count="0" memberValueDatatype="5" unbalanced="0"/>
    <cacheHierarchy uniqueName="[Range].[Food and beverages]" caption="Food and beverages" attribute="1" defaultMemberUniqueName="[Range].[Food and beverages].[All]" allUniqueName="[Range].[Food and beverages].[All]" dimensionUniqueName="[Range]" displayFolder="" count="0" memberValueDatatype="5" unbalanced="0"/>
    <cacheHierarchy uniqueName="[Range].[Pan, tobacco and intoxicants]" caption="Pan, tobacco and intoxicants" attribute="1" defaultMemberUniqueName="[Range].[Pan, tobacco and intoxicants].[All]" allUniqueName="[Range].[Pan, tobacco and intoxicants].[All]" dimensionUniqueName="[Range]" displayFolder="" count="0" memberValueDatatype="5" unbalanced="0"/>
    <cacheHierarchy uniqueName="[Range].[Clothing]" caption="Clothing" attribute="1" defaultMemberUniqueName="[Range].[Clothing].[All]" allUniqueName="[Range].[Clothing].[All]" dimensionUniqueName="[Range]" displayFolder="" count="0" memberValueDatatype="5" unbalanced="0"/>
    <cacheHierarchy uniqueName="[Range].[Footwear]" caption="Footwear" attribute="1" defaultMemberUniqueName="[Range].[Footwear].[All]" allUniqueName="[Range].[Footwear].[All]" dimensionUniqueName="[Range]" displayFolder="" count="0" memberValueDatatype="5" unbalanced="0"/>
    <cacheHierarchy uniqueName="[Range].[Clothing and footwear]" caption="Clothing and footwear" attribute="1" defaultMemberUniqueName="[Range].[Clothing and footwear].[All]" allUniqueName="[Range].[Clothing and footwear].[All]" dimensionUniqueName="[Range]" displayFolder="" count="0" memberValueDatatype="5" unbalanced="0"/>
    <cacheHierarchy uniqueName="[Range].[Housing]" caption="Housing" attribute="1" defaultMemberUniqueName="[Range].[Housing].[All]" allUniqueName="[Range].[Housing].[All]" dimensionUniqueName="[Range]" displayFolder="" count="0" memberValueDatatype="130" unbalanced="0"/>
    <cacheHierarchy uniqueName="[Range].[Fuel and light]" caption="Fuel and light" attribute="1" defaultMemberUniqueName="[Range].[Fuel and light].[All]" allUniqueName="[Range].[Fuel and light].[All]" dimensionUniqueName="[Range]" displayFolder="" count="0" memberValueDatatype="5" unbalanced="0"/>
    <cacheHierarchy uniqueName="[Range].[Household goods and services]" caption="Household goods and services" attribute="1" defaultMemberUniqueName="[Range].[Household goods and services].[All]" allUniqueName="[Range].[Household goods and services].[All]" dimensionUniqueName="[Range]" displayFolder="" count="0" memberValueDatatype="5" unbalanced="0"/>
    <cacheHierarchy uniqueName="[Range].[Health]" caption="Health" attribute="1" defaultMemberUniqueName="[Range].[Health].[All]" allUniqueName="[Range].[Health].[All]" dimensionUniqueName="[Range]" displayFolder="" count="0" memberValueDatatype="5" unbalanced="0"/>
    <cacheHierarchy uniqueName="[Range].[Transport and communication]" caption="Transport and communication" attribute="1" defaultMemberUniqueName="[Range].[Transport and communication].[All]" allUniqueName="[Range].[Transport and communication].[All]" dimensionUniqueName="[Range]" displayFolder="" count="0" memberValueDatatype="5" unbalanced="0"/>
    <cacheHierarchy uniqueName="[Range].[Recreation and amusement]" caption="Recreation and amusement" attribute="1" defaultMemberUniqueName="[Range].[Recreation and amusement].[All]" allUniqueName="[Range].[Recreation and amusement].[All]" dimensionUniqueName="[Range]" displayFolder="" count="0" memberValueDatatype="5" unbalanced="0"/>
    <cacheHierarchy uniqueName="[Range].[Education]" caption="Education" attribute="1" defaultMemberUniqueName="[Range].[Education].[All]" allUniqueName="[Range].[Education].[All]" dimensionUniqueName="[Range]" displayFolder="" count="0" memberValueDatatype="5" unbalanced="0"/>
    <cacheHierarchy uniqueName="[Range].[Personal care and effects]" caption="Personal care and effects" attribute="1" defaultMemberUniqueName="[Range].[Personal care and effects].[All]" allUniqueName="[Range].[Personal care and effects].[All]" dimensionUniqueName="[Range]" displayFolder="" count="0" memberValueDatatype="5" unbalanced="0"/>
    <cacheHierarchy uniqueName="[Range].[Miscellaneous]" caption="Miscellaneous" attribute="1" defaultMemberUniqueName="[Range].[Miscellaneous].[All]" allUniqueName="[Range].[Miscellaneous].[All]" dimensionUniqueName="[Range]" displayFolder="" count="0" memberValueDatatype="5" unbalanced="0"/>
    <cacheHierarchy uniqueName="[Range].[General index]" caption="General index" attribute="1" defaultMemberUniqueName="[Range].[General index].[All]" allUniqueName="[Range].[General index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ood and beverages]" caption="Sum of Food and beverag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an, tobacco and intoxicants]" caption="Sum of Pan, tobacco and intoxicant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lothing and footwear]" caption="Sum of Clothing and footwear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uel and light]" caption="Sum of Fuel and light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ealth]" caption="Sum of Health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port and communication]" caption="Sum of Transport and communication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General index]" caption="Sum of General index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dab pan" refreshedDate="46211.831075694441" backgroundQuery="1" createdVersion="8" refreshedVersion="8" minRefreshableVersion="3" recordCount="0" supportSubquery="1" supportAdvancedDrill="1" xr:uid="{8FE3F2A6-9349-4548-923F-D75DD322A74E}">
  <cacheSource type="external" connectionId="2"/>
  <cacheFields count="9">
    <cacheField name="[Range].[Year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</x15:cachedUniqueNames>
        </ext>
      </extLst>
    </cacheField>
    <cacheField name="[Range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Range].[Sector].[Sector]" caption="Sector" numFmtId="0" level="1">
      <sharedItems containsSemiMixedTypes="0" containsNonDate="0" containsString="0"/>
    </cacheField>
    <cacheField name="[Measures].[Sum of Food and beverages]" caption="Sum of Food and beverages" numFmtId="0" hierarchy="33" level="32767"/>
    <cacheField name="[Measures].[Sum of Pan, tobacco and intoxicants]" caption="Sum of Pan, tobacco and intoxicants" numFmtId="0" hierarchy="34" level="32767"/>
    <cacheField name="[Measures].[Sum of Clothing and footwear]" caption="Sum of Clothing and footwear" numFmtId="0" hierarchy="35" level="32767"/>
    <cacheField name="[Measures].[Sum of Fuel and light]" caption="Sum of Fuel and light" numFmtId="0" hierarchy="36" level="32767"/>
    <cacheField name="[Measures].[Sum of Transport and communication]" caption="Sum of Transport and communication" numFmtId="0" hierarchy="38" level="32767"/>
    <cacheField name="[Measures].[Sum of Miscellaneous]" caption="Sum of Miscellaneous" numFmtId="0" hierarchy="41" level="32767"/>
  </cacheFields>
  <cacheHierarchies count="42"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ereals and products]" caption="Cereals and products" attribute="1" defaultMemberUniqueName="[Range].[Cereals and products].[All]" allUniqueName="[Range].[Cereals and products].[All]" dimensionUniqueName="[Range]" displayFolder="" count="0" memberValueDatatype="5" unbalanced="0"/>
    <cacheHierarchy uniqueName="[Range].[Meat and fish]" caption="Meat and fish" attribute="1" defaultMemberUniqueName="[Range].[Meat and fish].[All]" allUniqueName="[Range].[Meat and fish].[All]" dimensionUniqueName="[Range]" displayFolder="" count="0" memberValueDatatype="5" unbalanced="0"/>
    <cacheHierarchy uniqueName="[Range].[Egg]" caption="Egg" attribute="1" defaultMemberUniqueName="[Range].[Egg].[All]" allUniqueName="[Range].[Egg].[All]" dimensionUniqueName="[Range]" displayFolder="" count="0" memberValueDatatype="5" unbalanced="0"/>
    <cacheHierarchy uniqueName="[Range].[Milk and products]" caption="Milk and products" attribute="1" defaultMemberUniqueName="[Range].[Milk and products].[All]" allUniqueName="[Range].[Milk and products].[All]" dimensionUniqueName="[Range]" displayFolder="" count="0" memberValueDatatype="5" unbalanced="0"/>
    <cacheHierarchy uniqueName="[Range].[Oils and fats]" caption="Oils and fats" attribute="1" defaultMemberUniqueName="[Range].[Oils and fats].[All]" allUniqueName="[Range].[Oils and fats].[All]" dimensionUniqueName="[Range]" displayFolder="" count="0" memberValueDatatype="5" unbalanced="0"/>
    <cacheHierarchy uniqueName="[Range].[Fruits]" caption="Fruits" attribute="1" defaultMemberUniqueName="[Range].[Fruits].[All]" allUniqueName="[Range].[Fruits].[All]" dimensionUniqueName="[Range]" displayFolder="" count="0" memberValueDatatype="5" unbalanced="0"/>
    <cacheHierarchy uniqueName="[Range].[Vegetables]" caption="Vegetables" attribute="1" defaultMemberUniqueName="[Range].[Vegetables].[All]" allUniqueName="[Range].[Vegetables].[All]" dimensionUniqueName="[Range]" displayFolder="" count="0" memberValueDatatype="5" unbalanced="0"/>
    <cacheHierarchy uniqueName="[Range].[Pulses and products]" caption="Pulses and products" attribute="1" defaultMemberUniqueName="[Range].[Pulses and products].[All]" allUniqueName="[Range].[Pulses and products].[All]" dimensionUniqueName="[Range]" displayFolder="" count="0" memberValueDatatype="5" unbalanced="0"/>
    <cacheHierarchy uniqueName="[Range].[Sugar and Confectionery]" caption="Sugar and Confectionery" attribute="1" defaultMemberUniqueName="[Range].[Sugar and Confectionery].[All]" allUniqueName="[Range].[Sugar and Confectionery].[All]" dimensionUniqueName="[Range]" displayFolder="" count="0" memberValueDatatype="5" unbalanced="0"/>
    <cacheHierarchy uniqueName="[Range].[Spices]" caption="Spices" attribute="1" defaultMemberUniqueName="[Range].[Spices].[All]" allUniqueName="[Range].[Spices].[All]" dimensionUniqueName="[Range]" displayFolder="" count="0" memberValueDatatype="5" unbalanced="0"/>
    <cacheHierarchy uniqueName="[Range].[Non-alcoholic beverages]" caption="Non-alcoholic beverages" attribute="1" defaultMemberUniqueName="[Range].[Non-alcoholic beverages].[All]" allUniqueName="[Range].[Non-alcoholic beverages].[All]" dimensionUniqueName="[Range]" displayFolder="" count="0" memberValueDatatype="5" unbalanced="0"/>
    <cacheHierarchy uniqueName="[Range].[Prepared meals, snacks, sweets etc.]" caption="Prepared meals, snacks, sweets etc." attribute="1" defaultMemberUniqueName="[Range].[Prepared meals, snacks, sweets etc.].[All]" allUniqueName="[Range].[Prepared meals, snacks, sweets etc.].[All]" dimensionUniqueName="[Range]" displayFolder="" count="0" memberValueDatatype="5" unbalanced="0"/>
    <cacheHierarchy uniqueName="[Range].[Food and beverages]" caption="Food and beverages" attribute="1" defaultMemberUniqueName="[Range].[Food and beverages].[All]" allUniqueName="[Range].[Food and beverages].[All]" dimensionUniqueName="[Range]" displayFolder="" count="0" memberValueDatatype="5" unbalanced="0"/>
    <cacheHierarchy uniqueName="[Range].[Pan, tobacco and intoxicants]" caption="Pan, tobacco and intoxicants" attribute="1" defaultMemberUniqueName="[Range].[Pan, tobacco and intoxicants].[All]" allUniqueName="[Range].[Pan, tobacco and intoxicants].[All]" dimensionUniqueName="[Range]" displayFolder="" count="0" memberValueDatatype="5" unbalanced="0"/>
    <cacheHierarchy uniqueName="[Range].[Clothing]" caption="Clothing" attribute="1" defaultMemberUniqueName="[Range].[Clothing].[All]" allUniqueName="[Range].[Clothing].[All]" dimensionUniqueName="[Range]" displayFolder="" count="0" memberValueDatatype="5" unbalanced="0"/>
    <cacheHierarchy uniqueName="[Range].[Footwear]" caption="Footwear" attribute="1" defaultMemberUniqueName="[Range].[Footwear].[All]" allUniqueName="[Range].[Footwear].[All]" dimensionUniqueName="[Range]" displayFolder="" count="0" memberValueDatatype="5" unbalanced="0"/>
    <cacheHierarchy uniqueName="[Range].[Clothing and footwear]" caption="Clothing and footwear" attribute="1" defaultMemberUniqueName="[Range].[Clothing and footwear].[All]" allUniqueName="[Range].[Clothing and footwear].[All]" dimensionUniqueName="[Range]" displayFolder="" count="0" memberValueDatatype="5" unbalanced="0"/>
    <cacheHierarchy uniqueName="[Range].[Housing]" caption="Housing" attribute="1" defaultMemberUniqueName="[Range].[Housing].[All]" allUniqueName="[Range].[Housing].[All]" dimensionUniqueName="[Range]" displayFolder="" count="0" memberValueDatatype="130" unbalanced="0"/>
    <cacheHierarchy uniqueName="[Range].[Fuel and light]" caption="Fuel and light" attribute="1" defaultMemberUniqueName="[Range].[Fuel and light].[All]" allUniqueName="[Range].[Fuel and light].[All]" dimensionUniqueName="[Range]" displayFolder="" count="0" memberValueDatatype="5" unbalanced="0"/>
    <cacheHierarchy uniqueName="[Range].[Household goods and services]" caption="Household goods and services" attribute="1" defaultMemberUniqueName="[Range].[Household goods and services].[All]" allUniqueName="[Range].[Household goods and services].[All]" dimensionUniqueName="[Range]" displayFolder="" count="0" memberValueDatatype="5" unbalanced="0"/>
    <cacheHierarchy uniqueName="[Range].[Health]" caption="Health" attribute="1" defaultMemberUniqueName="[Range].[Health].[All]" allUniqueName="[Range].[Health].[All]" dimensionUniqueName="[Range]" displayFolder="" count="0" memberValueDatatype="5" unbalanced="0"/>
    <cacheHierarchy uniqueName="[Range].[Transport and communication]" caption="Transport and communication" attribute="1" defaultMemberUniqueName="[Range].[Transport and communication].[All]" allUniqueName="[Range].[Transport and communication].[All]" dimensionUniqueName="[Range]" displayFolder="" count="0" memberValueDatatype="5" unbalanced="0"/>
    <cacheHierarchy uniqueName="[Range].[Recreation and amusement]" caption="Recreation and amusement" attribute="1" defaultMemberUniqueName="[Range].[Recreation and amusement].[All]" allUniqueName="[Range].[Recreation and amusement].[All]" dimensionUniqueName="[Range]" displayFolder="" count="0" memberValueDatatype="5" unbalanced="0"/>
    <cacheHierarchy uniqueName="[Range].[Education]" caption="Education" attribute="1" defaultMemberUniqueName="[Range].[Education].[All]" allUniqueName="[Range].[Education].[All]" dimensionUniqueName="[Range]" displayFolder="" count="0" memberValueDatatype="5" unbalanced="0"/>
    <cacheHierarchy uniqueName="[Range].[Personal care and effects]" caption="Personal care and effects" attribute="1" defaultMemberUniqueName="[Range].[Personal care and effects].[All]" allUniqueName="[Range].[Personal care and effects].[All]" dimensionUniqueName="[Range]" displayFolder="" count="0" memberValueDatatype="5" unbalanced="0"/>
    <cacheHierarchy uniqueName="[Range].[Miscellaneous]" caption="Miscellaneous" attribute="1" defaultMemberUniqueName="[Range].[Miscellaneous].[All]" allUniqueName="[Range].[Miscellaneous].[All]" dimensionUniqueName="[Range]" displayFolder="" count="0" memberValueDatatype="5" unbalanced="0"/>
    <cacheHierarchy uniqueName="[Range].[General index]" caption="General index" attribute="1" defaultMemberUniqueName="[Range].[General index].[All]" allUniqueName="[Range].[General index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ood and beverages]" caption="Sum of Food and beverag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an, tobacco and intoxicants]" caption="Sum of Pan, tobacco and intoxicant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lothing and footwear]" caption="Sum of Clothing and footwear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uel and light]" caption="Sum of Fuel and light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ealth]" caption="Sum of Health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port and communication]" caption="Sum of Transport and communication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General index]" caption="Sum of General index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dab pan" refreshedDate="46211.831199305554" backgroundQuery="1" createdVersion="8" refreshedVersion="8" minRefreshableVersion="3" recordCount="0" supportSubquery="1" supportAdvancedDrill="1" xr:uid="{0E6DC648-92DE-4D28-B778-BC1EF24863FF}">
  <cacheSource type="external" connectionId="2"/>
  <cacheFields count="9">
    <cacheField name="[Range].[Year].[Year]" caption="Year" numFmtId="0" hierarchy="1" level="1">
      <sharedItems containsSemiMixedTypes="0" containsString="0" containsNumber="1" containsInteger="1" minValue="2021" maxValue="2023" count="3"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1]"/>
            <x15:cachedUniqueName index="1" name="[Range].[Year].&amp;[2022]"/>
            <x15:cachedUniqueName index="2" name="[Range].[Year].&amp;[2023]"/>
          </x15:cachedUniqueNames>
        </ext>
      </extLst>
    </cacheField>
    <cacheField name="[Range].[Month].[Month]" caption="Month" numFmtId="0" hierarchy="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Range].[Sector].[Sector]" caption="Sector" numFmtId="0" level="1">
      <sharedItems containsSemiMixedTypes="0" containsNonDate="0" containsString="0"/>
    </cacheField>
    <cacheField name="[Measures].[Sum of Food and beverages]" caption="Sum of Food and beverages" numFmtId="0" hierarchy="33" level="32767"/>
    <cacheField name="[Measures].[Sum of Pan, tobacco and intoxicants]" caption="Sum of Pan, tobacco and intoxicants" numFmtId="0" hierarchy="34" level="32767"/>
    <cacheField name="[Measures].[Sum of Clothing and footwear]" caption="Sum of Clothing and footwear" numFmtId="0" hierarchy="35" level="32767"/>
    <cacheField name="[Measures].[Sum of Fuel and light]" caption="Sum of Fuel and light" numFmtId="0" hierarchy="36" level="32767"/>
    <cacheField name="[Measures].[Sum of Transport and communication]" caption="Sum of Transport and communication" numFmtId="0" hierarchy="38" level="32767"/>
    <cacheField name="[Measures].[Sum of Miscellaneous]" caption="Sum of Miscellaneous" numFmtId="0" hierarchy="41" level="32767"/>
  </cacheFields>
  <cacheHierarchies count="42"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ereals and products]" caption="Cereals and products" attribute="1" defaultMemberUniqueName="[Range].[Cereals and products].[All]" allUniqueName="[Range].[Cereals and products].[All]" dimensionUniqueName="[Range]" displayFolder="" count="0" memberValueDatatype="5" unbalanced="0"/>
    <cacheHierarchy uniqueName="[Range].[Meat and fish]" caption="Meat and fish" attribute="1" defaultMemberUniqueName="[Range].[Meat and fish].[All]" allUniqueName="[Range].[Meat and fish].[All]" dimensionUniqueName="[Range]" displayFolder="" count="0" memberValueDatatype="5" unbalanced="0"/>
    <cacheHierarchy uniqueName="[Range].[Egg]" caption="Egg" attribute="1" defaultMemberUniqueName="[Range].[Egg].[All]" allUniqueName="[Range].[Egg].[All]" dimensionUniqueName="[Range]" displayFolder="" count="0" memberValueDatatype="5" unbalanced="0"/>
    <cacheHierarchy uniqueName="[Range].[Milk and products]" caption="Milk and products" attribute="1" defaultMemberUniqueName="[Range].[Milk and products].[All]" allUniqueName="[Range].[Milk and products].[All]" dimensionUniqueName="[Range]" displayFolder="" count="0" memberValueDatatype="5" unbalanced="0"/>
    <cacheHierarchy uniqueName="[Range].[Oils and fats]" caption="Oils and fats" attribute="1" defaultMemberUniqueName="[Range].[Oils and fats].[All]" allUniqueName="[Range].[Oils and fats].[All]" dimensionUniqueName="[Range]" displayFolder="" count="0" memberValueDatatype="5" unbalanced="0"/>
    <cacheHierarchy uniqueName="[Range].[Fruits]" caption="Fruits" attribute="1" defaultMemberUniqueName="[Range].[Fruits].[All]" allUniqueName="[Range].[Fruits].[All]" dimensionUniqueName="[Range]" displayFolder="" count="0" memberValueDatatype="5" unbalanced="0"/>
    <cacheHierarchy uniqueName="[Range].[Vegetables]" caption="Vegetables" attribute="1" defaultMemberUniqueName="[Range].[Vegetables].[All]" allUniqueName="[Range].[Vegetables].[All]" dimensionUniqueName="[Range]" displayFolder="" count="0" memberValueDatatype="5" unbalanced="0"/>
    <cacheHierarchy uniqueName="[Range].[Pulses and products]" caption="Pulses and products" attribute="1" defaultMemberUniqueName="[Range].[Pulses and products].[All]" allUniqueName="[Range].[Pulses and products].[All]" dimensionUniqueName="[Range]" displayFolder="" count="0" memberValueDatatype="5" unbalanced="0"/>
    <cacheHierarchy uniqueName="[Range].[Sugar and Confectionery]" caption="Sugar and Confectionery" attribute="1" defaultMemberUniqueName="[Range].[Sugar and Confectionery].[All]" allUniqueName="[Range].[Sugar and Confectionery].[All]" dimensionUniqueName="[Range]" displayFolder="" count="0" memberValueDatatype="5" unbalanced="0"/>
    <cacheHierarchy uniqueName="[Range].[Spices]" caption="Spices" attribute="1" defaultMemberUniqueName="[Range].[Spices].[All]" allUniqueName="[Range].[Spices].[All]" dimensionUniqueName="[Range]" displayFolder="" count="0" memberValueDatatype="5" unbalanced="0"/>
    <cacheHierarchy uniqueName="[Range].[Non-alcoholic beverages]" caption="Non-alcoholic beverages" attribute="1" defaultMemberUniqueName="[Range].[Non-alcoholic beverages].[All]" allUniqueName="[Range].[Non-alcoholic beverages].[All]" dimensionUniqueName="[Range]" displayFolder="" count="0" memberValueDatatype="5" unbalanced="0"/>
    <cacheHierarchy uniqueName="[Range].[Prepared meals, snacks, sweets etc.]" caption="Prepared meals, snacks, sweets etc." attribute="1" defaultMemberUniqueName="[Range].[Prepared meals, snacks, sweets etc.].[All]" allUniqueName="[Range].[Prepared meals, snacks, sweets etc.].[All]" dimensionUniqueName="[Range]" displayFolder="" count="0" memberValueDatatype="5" unbalanced="0"/>
    <cacheHierarchy uniqueName="[Range].[Food and beverages]" caption="Food and beverages" attribute="1" defaultMemberUniqueName="[Range].[Food and beverages].[All]" allUniqueName="[Range].[Food and beverages].[All]" dimensionUniqueName="[Range]" displayFolder="" count="0" memberValueDatatype="5" unbalanced="0"/>
    <cacheHierarchy uniqueName="[Range].[Pan, tobacco and intoxicants]" caption="Pan, tobacco and intoxicants" attribute="1" defaultMemberUniqueName="[Range].[Pan, tobacco and intoxicants].[All]" allUniqueName="[Range].[Pan, tobacco and intoxicants].[All]" dimensionUniqueName="[Range]" displayFolder="" count="0" memberValueDatatype="5" unbalanced="0"/>
    <cacheHierarchy uniqueName="[Range].[Clothing]" caption="Clothing" attribute="1" defaultMemberUniqueName="[Range].[Clothing].[All]" allUniqueName="[Range].[Clothing].[All]" dimensionUniqueName="[Range]" displayFolder="" count="0" memberValueDatatype="5" unbalanced="0"/>
    <cacheHierarchy uniqueName="[Range].[Footwear]" caption="Footwear" attribute="1" defaultMemberUniqueName="[Range].[Footwear].[All]" allUniqueName="[Range].[Footwear].[All]" dimensionUniqueName="[Range]" displayFolder="" count="0" memberValueDatatype="5" unbalanced="0"/>
    <cacheHierarchy uniqueName="[Range].[Clothing and footwear]" caption="Clothing and footwear" attribute="1" defaultMemberUniqueName="[Range].[Clothing and footwear].[All]" allUniqueName="[Range].[Clothing and footwear].[All]" dimensionUniqueName="[Range]" displayFolder="" count="0" memberValueDatatype="5" unbalanced="0"/>
    <cacheHierarchy uniqueName="[Range].[Housing]" caption="Housing" attribute="1" defaultMemberUniqueName="[Range].[Housing].[All]" allUniqueName="[Range].[Housing].[All]" dimensionUniqueName="[Range]" displayFolder="" count="0" memberValueDatatype="130" unbalanced="0"/>
    <cacheHierarchy uniqueName="[Range].[Fuel and light]" caption="Fuel and light" attribute="1" defaultMemberUniqueName="[Range].[Fuel and light].[All]" allUniqueName="[Range].[Fuel and light].[All]" dimensionUniqueName="[Range]" displayFolder="" count="0" memberValueDatatype="5" unbalanced="0"/>
    <cacheHierarchy uniqueName="[Range].[Household goods and services]" caption="Household goods and services" attribute="1" defaultMemberUniqueName="[Range].[Household goods and services].[All]" allUniqueName="[Range].[Household goods and services].[All]" dimensionUniqueName="[Range]" displayFolder="" count="0" memberValueDatatype="5" unbalanced="0"/>
    <cacheHierarchy uniqueName="[Range].[Health]" caption="Health" attribute="1" defaultMemberUniqueName="[Range].[Health].[All]" allUniqueName="[Range].[Health].[All]" dimensionUniqueName="[Range]" displayFolder="" count="0" memberValueDatatype="5" unbalanced="0"/>
    <cacheHierarchy uniqueName="[Range].[Transport and communication]" caption="Transport and communication" attribute="1" defaultMemberUniqueName="[Range].[Transport and communication].[All]" allUniqueName="[Range].[Transport and communication].[All]" dimensionUniqueName="[Range]" displayFolder="" count="0" memberValueDatatype="5" unbalanced="0"/>
    <cacheHierarchy uniqueName="[Range].[Recreation and amusement]" caption="Recreation and amusement" attribute="1" defaultMemberUniqueName="[Range].[Recreation and amusement].[All]" allUniqueName="[Range].[Recreation and amusement].[All]" dimensionUniqueName="[Range]" displayFolder="" count="0" memberValueDatatype="5" unbalanced="0"/>
    <cacheHierarchy uniqueName="[Range].[Education]" caption="Education" attribute="1" defaultMemberUniqueName="[Range].[Education].[All]" allUniqueName="[Range].[Education].[All]" dimensionUniqueName="[Range]" displayFolder="" count="0" memberValueDatatype="5" unbalanced="0"/>
    <cacheHierarchy uniqueName="[Range].[Personal care and effects]" caption="Personal care and effects" attribute="1" defaultMemberUniqueName="[Range].[Personal care and effects].[All]" allUniqueName="[Range].[Personal care and effects].[All]" dimensionUniqueName="[Range]" displayFolder="" count="0" memberValueDatatype="5" unbalanced="0"/>
    <cacheHierarchy uniqueName="[Range].[Miscellaneous]" caption="Miscellaneous" attribute="1" defaultMemberUniqueName="[Range].[Miscellaneous].[All]" allUniqueName="[Range].[Miscellaneous].[All]" dimensionUniqueName="[Range]" displayFolder="" count="0" memberValueDatatype="5" unbalanced="0"/>
    <cacheHierarchy uniqueName="[Range].[General index]" caption="General index" attribute="1" defaultMemberUniqueName="[Range].[General index].[All]" allUniqueName="[Range].[General index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ood and beverages]" caption="Sum of Food and beverag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Pan, tobacco and intoxicants]" caption="Sum of Pan, tobacco and intoxicant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lothing and footwear]" caption="Sum of Clothing and footwear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Fuel and light]" caption="Sum of Fuel and light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Health]" caption="Sum of Health" measure="1" displayFolder="" measureGroup="Range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ransport and communication]" caption="Sum of Transport and communication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ducation]" caption="Sum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General index]" caption="Sum of General index" measure="1" displayFolder="" measureGroup="Rang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iscellaneous]" caption="Sum of Miscellaneous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b pan" refreshedDate="46216.89420613426" createdVersion="8" refreshedVersion="8" minRefreshableVersion="3" recordCount="14" xr:uid="{4655DF6F-23BA-4807-B6F6-4560CD332A6F}">
  <cacheSource type="worksheet">
    <worksheetSource ref="A1:D15" sheet="Sheet1" r:id="rId2"/>
  </cacheSource>
  <cacheFields count="4">
    <cacheField name="Sector" numFmtId="0">
      <sharedItems count="1">
        <s v="Rural+Urban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 count="3">
        <s v="January"/>
        <s v="December"/>
        <s v="May"/>
      </sharedItems>
    </cacheField>
    <cacheField name="General index " numFmtId="0">
      <sharedItems containsSemiMixedTypes="0" containsString="0" containsNumber="1" minValue="130.30000000000001" maxValue="17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b pan" refreshedDate="46217.824747222221" createdVersion="8" refreshedVersion="8" minRefreshableVersion="3" recordCount="249" xr:uid="{E0455B94-AACD-408B-A9B5-90AF6DA7060D}">
  <cacheSource type="worksheet">
    <worksheetSource ref="AH1:AN250" sheet="All_India_Index_Upto_April23 (1"/>
  </cacheSource>
  <cacheFields count="7">
    <cacheField name="Sector" numFmtId="0">
      <sharedItems containsBlank="1" count="4">
        <m/>
        <s v="Rural"/>
        <s v="Urban"/>
        <s v="Rural+Urban"/>
      </sharedItems>
    </cacheField>
    <cacheField name="Year" numFmtId="0">
      <sharedItems containsString="0" containsBlank="1" containsNumber="1" containsInteger="1" minValue="2019" maxValue="2020" count="3">
        <m/>
        <n v="2019"/>
        <n v="2020"/>
      </sharedItems>
    </cacheField>
    <cacheField name="Month" numFmtId="0">
      <sharedItems containsBlank="1" count="12">
        <m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Food and beverages" numFmtId="0">
      <sharedItems containsString="0" containsBlank="1" containsNumber="1" minValue="139.19999999999999" maxValue="156.30000000000001"/>
    </cacheField>
    <cacheField name="Fuel and light" numFmtId="0">
      <sharedItems containsString="0" containsBlank="1" containsNumber="1" minValue="125.5" maxValue="153.4"/>
    </cacheField>
    <cacheField name="Health" numFmtId="0">
      <sharedItems containsString="0" containsBlank="1" containsNumber="1" minValue="139.80000000000001" maxValue="156.69999999999999"/>
    </cacheField>
    <cacheField name="Miscellaneous" numFmtId="0">
      <sharedItems containsString="0" containsBlank="1" containsNumber="1" minValue="133.30000000000001" maxValue="148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ab pan" refreshedDate="46217.894593171295" createdVersion="8" refreshedVersion="8" minRefreshableVersion="3" recordCount="285" xr:uid="{30AF6F4A-EA25-4356-A4DF-C06A2A389CDF}">
  <cacheSource type="worksheet">
    <worksheetSource ref="AI1:AO286" sheet="All_India_Index_Upto_April23 (1"/>
  </cacheSource>
  <cacheFields count="7">
    <cacheField name="Sector" numFmtId="0">
      <sharedItems containsBlank="1" count="4">
        <m/>
        <s v="Rural"/>
        <s v="Urban"/>
        <s v="Rural+Urban"/>
      </sharedItems>
    </cacheField>
    <cacheField name="Year" numFmtId="0">
      <sharedItems containsString="0" containsBlank="1" containsNumber="1" containsInteger="1" minValue="2020" maxValue="2021" count="3">
        <m/>
        <n v="2020"/>
        <n v="2021"/>
      </sharedItems>
    </cacheField>
    <cacheField name="Month" numFmtId="0">
      <sharedItems containsBlank="1" count="13">
        <m/>
        <s v="April"/>
        <s v="May"/>
        <s v="June"/>
        <s v="July"/>
        <s v="August"/>
        <s v="September"/>
        <s v="October"/>
        <s v="November"/>
        <s v="December"/>
        <s v="January"/>
        <s v="February"/>
        <s v="March"/>
      </sharedItems>
    </cacheField>
    <cacheField name="Food and beverages" numFmtId="0">
      <sharedItems containsBlank="1" containsMixedTypes="1" containsNumber="1" minValue="150.1" maxValue="167" count="28">
        <m/>
        <n v="150.1"/>
        <n v="153.5"/>
        <n v="151.4"/>
        <s v="NA"/>
        <n v="152.30000000000001"/>
        <n v="157"/>
        <n v="154"/>
        <n v="155.30000000000001"/>
        <n v="159.9"/>
        <n v="156.1"/>
        <n v="161.30000000000001"/>
        <n v="158"/>
        <n v="159.6"/>
        <n v="164.4"/>
        <n v="161.4"/>
        <n v="163.4"/>
        <n v="167"/>
        <n v="164.7"/>
        <n v="164.5"/>
        <n v="165.4"/>
        <n v="161"/>
        <n v="154.69999999999999"/>
        <n v="160.80000000000001"/>
        <n v="156.9"/>
        <n v="154.5"/>
        <n v="160.4"/>
        <n v="156.69999999999999"/>
      </sharedItems>
    </cacheField>
    <cacheField name="Fuel and light" numFmtId="0">
      <sharedItems containsBlank="1" containsMixedTypes="1" containsNumber="1" minValue="137.1" maxValue="156" count="29">
        <m/>
        <n v="148.4"/>
        <n v="137.1"/>
        <n v="144.1"/>
        <s v="NA"/>
        <n v="144.9"/>
        <n v="141.9"/>
        <n v="145.80000000000001"/>
        <n v="138.30000000000001"/>
        <n v="143"/>
        <n v="146.4"/>
        <n v="137.19999999999999"/>
        <n v="142.9"/>
        <n v="146.80000000000001"/>
        <n v="143.1"/>
        <n v="147.5"/>
        <n v="137.30000000000001"/>
        <n v="143.6"/>
        <n v="148.69999999999999"/>
        <n v="137.9"/>
        <n v="144.6"/>
        <n v="150.9"/>
        <n v="147.9"/>
        <n v="154.4"/>
        <n v="149.1"/>
        <n v="152.4"/>
        <n v="156"/>
        <n v="154.80000000000001"/>
        <n v="155.5"/>
      </sharedItems>
    </cacheField>
    <cacheField name="Health" numFmtId="0">
      <sharedItems containsBlank="1" containsMixedTypes="1" containsNumber="1" minValue="144.80000000000001" maxValue="164.6" count="31">
        <m/>
        <n v="154.30000000000001"/>
        <n v="144.80000000000001"/>
        <n v="150.69999999999999"/>
        <s v="NA"/>
        <n v="158.19999999999999"/>
        <n v="148.1"/>
        <n v="154.4"/>
        <n v="158.80000000000001"/>
        <n v="148.69999999999999"/>
        <n v="155"/>
        <n v="159.1"/>
        <n v="150"/>
        <n v="155.6"/>
        <n v="159.5"/>
        <n v="151"/>
        <n v="156.30000000000001"/>
        <n v="160.4"/>
        <n v="152"/>
        <n v="157.19999999999999"/>
        <n v="161.6"/>
        <n v="152.9"/>
        <n v="158.30000000000001"/>
        <n v="162.5"/>
        <n v="154.1"/>
        <n v="159.30000000000001"/>
        <n v="164.3"/>
        <n v="161.30000000000001"/>
        <n v="164.6"/>
        <n v="156.9"/>
        <n v="161.69999999999999"/>
      </sharedItems>
    </cacheField>
    <cacheField name="Miscellaneous" numFmtId="0">
      <sharedItems containsBlank="1" containsMixedTypes="1" containsNumber="1" minValue="142" maxValue="157.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x v="0"/>
    <x v="0"/>
    <n v="106.5"/>
    <n v="105.8"/>
    <x v="0"/>
    <x v="0"/>
    <x v="0"/>
    <n v="104.8"/>
    <n v="104"/>
    <n v="103.3"/>
    <n v="103.4"/>
    <n v="103.8"/>
    <n v="104.7"/>
    <n v="104"/>
    <x v="0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x v="1"/>
    <x v="1"/>
    <n v="105.9"/>
    <n v="105"/>
    <x v="1"/>
    <x v="1"/>
    <x v="1"/>
    <n v="104.8"/>
    <n v="104.1"/>
    <n v="103.2"/>
    <n v="102.9"/>
    <n v="103.5"/>
    <n v="104.3"/>
    <n v="103.7"/>
    <x v="1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x v="2"/>
    <x v="0"/>
    <n v="106.3"/>
    <n v="105.5"/>
    <x v="2"/>
    <x v="1"/>
    <x v="0"/>
    <n v="104.8"/>
    <n v="104"/>
    <n v="103.2"/>
    <n v="103.1"/>
    <n v="103.6"/>
    <n v="104.5"/>
    <n v="103.9"/>
    <x v="2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x v="3"/>
    <x v="2"/>
    <n v="107.1"/>
    <n v="106.3"/>
    <x v="3"/>
    <x v="0"/>
    <x v="2"/>
    <n v="105.2"/>
    <n v="104.4"/>
    <n v="103.9"/>
    <n v="104"/>
    <n v="104.1"/>
    <n v="104.6"/>
    <n v="104.4"/>
    <x v="3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x v="4"/>
    <x v="3"/>
    <n v="106.6"/>
    <n v="105.5"/>
    <x v="0"/>
    <x v="2"/>
    <x v="3"/>
    <n v="105.2"/>
    <n v="104.7"/>
    <n v="104.4"/>
    <n v="103.3"/>
    <n v="103.7"/>
    <n v="104.3"/>
    <n v="104.3"/>
    <x v="4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x v="5"/>
    <x v="4"/>
    <n v="106.9"/>
    <n v="106"/>
    <x v="4"/>
    <x v="2"/>
    <x v="4"/>
    <n v="105.2"/>
    <n v="104.5"/>
    <n v="104.2"/>
    <n v="103.6"/>
    <n v="103.9"/>
    <n v="104.5"/>
    <n v="104.4"/>
    <x v="5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x v="5"/>
    <x v="5"/>
    <n v="107.6"/>
    <n v="106.8"/>
    <x v="5"/>
    <x v="0"/>
    <x v="5"/>
    <n v="105.6"/>
    <n v="104.7"/>
    <n v="104.6"/>
    <n v="104"/>
    <n v="104.3"/>
    <n v="104.3"/>
    <n v="104.6"/>
    <x v="6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x v="6"/>
    <x v="6"/>
    <n v="107.2"/>
    <n v="106"/>
    <x v="3"/>
    <x v="2"/>
    <x v="4"/>
    <n v="105.7"/>
    <n v="105.2"/>
    <n v="105.5"/>
    <n v="103.5"/>
    <n v="103.8"/>
    <n v="104.2"/>
    <n v="104.9"/>
    <x v="7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x v="7"/>
    <x v="7"/>
    <n v="107.4"/>
    <n v="106.5"/>
    <x v="6"/>
    <x v="2"/>
    <x v="5"/>
    <n v="105.6"/>
    <n v="104.9"/>
    <n v="105.1"/>
    <n v="103.7"/>
    <n v="104"/>
    <n v="104.3"/>
    <n v="104.7"/>
    <x v="8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x v="8"/>
    <x v="8"/>
    <n v="108.1"/>
    <n v="107.4"/>
    <x v="7"/>
    <x v="0"/>
    <x v="6"/>
    <n v="106.1"/>
    <n v="105.1"/>
    <n v="104.4"/>
    <n v="104.5"/>
    <n v="104.8"/>
    <n v="102.7"/>
    <n v="104.6"/>
    <x v="9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x v="9"/>
    <x v="9"/>
    <n v="107.9"/>
    <n v="106.4"/>
    <x v="8"/>
    <x v="3"/>
    <x v="7"/>
    <n v="106.5"/>
    <n v="105.7"/>
    <n v="105"/>
    <n v="104"/>
    <n v="105.2"/>
    <n v="103.2"/>
    <n v="105.1"/>
    <x v="10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x v="10"/>
    <x v="10"/>
    <n v="108"/>
    <n v="107"/>
    <x v="9"/>
    <x v="3"/>
    <x v="6"/>
    <n v="106.3"/>
    <n v="105.3"/>
    <n v="104.7"/>
    <n v="104.2"/>
    <n v="105"/>
    <n v="102.9"/>
    <n v="104.8"/>
    <x v="11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x v="11"/>
    <x v="11"/>
    <n v="108.8"/>
    <n v="107.9"/>
    <x v="10"/>
    <x v="0"/>
    <x v="8"/>
    <n v="106.8"/>
    <n v="105.7"/>
    <n v="104.1"/>
    <n v="105"/>
    <n v="105.5"/>
    <n v="102.1"/>
    <n v="104.8"/>
    <x v="12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x v="12"/>
    <x v="12"/>
    <n v="108.5"/>
    <n v="106.7"/>
    <x v="11"/>
    <x v="3"/>
    <x v="9"/>
    <n v="107.1"/>
    <n v="106.2"/>
    <n v="103.9"/>
    <n v="104.6"/>
    <n v="105.7"/>
    <n v="102.6"/>
    <n v="104.9"/>
    <x v="13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x v="13"/>
    <x v="13"/>
    <n v="108.7"/>
    <n v="107.4"/>
    <x v="12"/>
    <x v="3"/>
    <x v="10"/>
    <n v="106.9"/>
    <n v="105.9"/>
    <n v="104"/>
    <n v="104.8"/>
    <n v="105.6"/>
    <n v="102.3"/>
    <n v="104.8"/>
    <x v="14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x v="14"/>
    <x v="14"/>
    <n v="109.7"/>
    <n v="108.8"/>
    <x v="13"/>
    <x v="0"/>
    <x v="11"/>
    <n v="107.5"/>
    <n v="106.3"/>
    <n v="105"/>
    <n v="105.6"/>
    <n v="106.5"/>
    <n v="102.5"/>
    <n v="105.5"/>
    <x v="15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x v="15"/>
    <x v="15"/>
    <n v="109.2"/>
    <n v="107.2"/>
    <x v="14"/>
    <x v="4"/>
    <x v="12"/>
    <n v="107.7"/>
    <n v="106.5"/>
    <n v="105.2"/>
    <n v="105.2"/>
    <n v="108.1"/>
    <n v="103.3"/>
    <n v="106.1"/>
    <x v="16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x v="16"/>
    <x v="16"/>
    <n v="109.5"/>
    <n v="108.1"/>
    <x v="15"/>
    <x v="4"/>
    <x v="13"/>
    <n v="107.6"/>
    <n v="106.4"/>
    <n v="105.1"/>
    <n v="105.4"/>
    <n v="107.4"/>
    <n v="102.8"/>
    <n v="105.8"/>
    <x v="17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x v="17"/>
    <x v="12"/>
    <n v="110.5"/>
    <n v="109.5"/>
    <x v="16"/>
    <x v="0"/>
    <x v="14"/>
    <n v="108.3"/>
    <n v="106.9"/>
    <n v="106.8"/>
    <n v="106.4"/>
    <n v="107.8"/>
    <n v="102.5"/>
    <n v="106.5"/>
    <x v="18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x v="18"/>
    <x v="17"/>
    <n v="109.8"/>
    <n v="107.8"/>
    <x v="13"/>
    <x v="5"/>
    <x v="15"/>
    <n v="108.1"/>
    <n v="107.1"/>
    <n v="107.3"/>
    <n v="105.9"/>
    <n v="110.1"/>
    <n v="103.2"/>
    <n v="107.3"/>
    <x v="19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x v="19"/>
    <x v="18"/>
    <n v="110.2"/>
    <n v="108.8"/>
    <x v="17"/>
    <x v="5"/>
    <x v="16"/>
    <n v="108.2"/>
    <n v="107"/>
    <n v="107.1"/>
    <n v="106.1"/>
    <n v="109.1"/>
    <n v="102.8"/>
    <n v="106.9"/>
    <x v="20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x v="20"/>
    <x v="19"/>
    <n v="111.3"/>
    <n v="110.2"/>
    <x v="18"/>
    <x v="0"/>
    <x v="17"/>
    <n v="108.7"/>
    <n v="107.5"/>
    <n v="107.8"/>
    <n v="106.8"/>
    <n v="108.7"/>
    <n v="105"/>
    <n v="107.5"/>
    <x v="2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x v="21"/>
    <x v="20"/>
    <n v="110.6"/>
    <n v="108.3"/>
    <x v="19"/>
    <x v="6"/>
    <x v="18"/>
    <n v="108.7"/>
    <n v="107.6"/>
    <n v="108.1"/>
    <n v="106.5"/>
    <n v="110.8"/>
    <n v="106"/>
    <n v="108.3"/>
    <x v="22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x v="22"/>
    <x v="21"/>
    <n v="111"/>
    <n v="109.4"/>
    <x v="20"/>
    <x v="6"/>
    <x v="19"/>
    <n v="108.7"/>
    <n v="107.5"/>
    <n v="108"/>
    <n v="106.6"/>
    <n v="109.9"/>
    <n v="105.4"/>
    <n v="107.9"/>
    <x v="23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x v="23"/>
    <x v="17"/>
    <n v="112.7"/>
    <n v="111.4"/>
    <x v="21"/>
    <x v="0"/>
    <x v="20"/>
    <n v="109.6"/>
    <n v="108.3"/>
    <n v="109.3"/>
    <n v="107.7"/>
    <n v="109.8"/>
    <n v="106.7"/>
    <n v="108.7"/>
    <x v="24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x v="24"/>
    <x v="22"/>
    <n v="111.4"/>
    <n v="109"/>
    <x v="18"/>
    <x v="7"/>
    <x v="14"/>
    <n v="109.6"/>
    <n v="107.9"/>
    <n v="110.4"/>
    <n v="107.4"/>
    <n v="111.2"/>
    <n v="106.9"/>
    <n v="109.4"/>
    <x v="25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x v="25"/>
    <x v="23"/>
    <n v="112.2"/>
    <n v="110.4"/>
    <x v="22"/>
    <x v="7"/>
    <x v="21"/>
    <n v="109.6"/>
    <n v="108.1"/>
    <n v="109.9"/>
    <n v="107.5"/>
    <n v="110.6"/>
    <n v="106.8"/>
    <n v="109"/>
    <x v="26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x v="26"/>
    <x v="24"/>
    <n v="113.6"/>
    <n v="112.3"/>
    <x v="23"/>
    <x v="0"/>
    <x v="22"/>
    <n v="110.4"/>
    <n v="108.9"/>
    <n v="109.3"/>
    <n v="108.3"/>
    <n v="110.2"/>
    <n v="107.5"/>
    <n v="109.1"/>
    <x v="27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x v="27"/>
    <x v="25"/>
    <n v="112.5"/>
    <n v="109.7"/>
    <x v="24"/>
    <x v="8"/>
    <x v="19"/>
    <n v="110.2"/>
    <n v="108.2"/>
    <n v="109.7"/>
    <n v="108"/>
    <n v="111.3"/>
    <n v="107.3"/>
    <n v="109.4"/>
    <x v="28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x v="28"/>
    <x v="26"/>
    <n v="113.2"/>
    <n v="111.2"/>
    <x v="25"/>
    <x v="8"/>
    <x v="23"/>
    <n v="110.3"/>
    <n v="108.6"/>
    <n v="109.5"/>
    <n v="108.1"/>
    <n v="110.8"/>
    <n v="107.4"/>
    <n v="109.2"/>
    <x v="29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x v="29"/>
    <x v="27"/>
    <n v="114.6"/>
    <n v="113.1"/>
    <x v="26"/>
    <x v="0"/>
    <x v="24"/>
    <n v="111.3"/>
    <n v="109.7"/>
    <n v="109.6"/>
    <n v="108.7"/>
    <n v="111"/>
    <n v="108.2"/>
    <n v="109.8"/>
    <x v="30"/>
  </r>
  <r>
    <x v="1"/>
    <x v="0"/>
    <x v="10"/>
    <n v="119.8"/>
    <n v="116.3"/>
    <n v="122.6"/>
    <n v="112"/>
    <n v="103.2"/>
    <n v="110"/>
    <n v="192.8"/>
    <n v="106.3"/>
    <n v="99.5"/>
    <n v="110.3"/>
    <n v="111.8"/>
    <n v="117.1"/>
    <x v="30"/>
    <x v="28"/>
    <n v="113.5"/>
    <n v="110.3"/>
    <x v="27"/>
    <x v="9"/>
    <x v="25"/>
    <n v="110.9"/>
    <n v="108.6"/>
    <n v="109.5"/>
    <n v="108.5"/>
    <n v="111.3"/>
    <n v="107.9"/>
    <n v="109.6"/>
    <x v="31"/>
  </r>
  <r>
    <x v="2"/>
    <x v="0"/>
    <x v="10"/>
    <n v="118.1"/>
    <n v="115.4"/>
    <n v="118.7"/>
    <n v="112.5"/>
    <n v="106.8"/>
    <n v="113.5"/>
    <n v="183.1"/>
    <n v="108.2"/>
    <n v="102.2"/>
    <n v="109.4"/>
    <n v="111.8"/>
    <n v="116.5"/>
    <x v="31"/>
    <x v="29"/>
    <n v="114.2"/>
    <n v="111.9"/>
    <x v="28"/>
    <x v="9"/>
    <x v="22"/>
    <n v="111.1"/>
    <n v="109.3"/>
    <n v="109.5"/>
    <n v="108.6"/>
    <n v="111.2"/>
    <n v="108.1"/>
    <n v="109.7"/>
    <x v="32"/>
  </r>
  <r>
    <x v="0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x v="32"/>
    <x v="30"/>
    <n v="115.8"/>
    <n v="114"/>
    <x v="29"/>
    <x v="0"/>
    <x v="26"/>
    <n v="112.1"/>
    <n v="110.1"/>
    <n v="109.9"/>
    <n v="109.2"/>
    <n v="111.6"/>
    <n v="108.1"/>
    <n v="110.1"/>
    <x v="27"/>
  </r>
  <r>
    <x v="1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x v="23"/>
    <x v="31"/>
    <n v="114.2"/>
    <n v="110.9"/>
    <x v="30"/>
    <x v="10"/>
    <x v="27"/>
    <n v="111.3"/>
    <n v="109"/>
    <n v="109.7"/>
    <n v="108.9"/>
    <n v="111.4"/>
    <n v="107.7"/>
    <n v="109.8"/>
    <x v="33"/>
  </r>
  <r>
    <x v="2"/>
    <x v="0"/>
    <x v="11"/>
    <n v="119.1"/>
    <n v="116.7"/>
    <n v="123.5"/>
    <n v="113.4"/>
    <n v="107.3"/>
    <n v="113.3"/>
    <n v="145.4"/>
    <n v="108.7"/>
    <n v="101.5"/>
    <n v="110.5"/>
    <n v="112.1"/>
    <n v="117.4"/>
    <x v="33"/>
    <x v="32"/>
    <n v="115.2"/>
    <n v="112.7"/>
    <x v="31"/>
    <x v="10"/>
    <x v="28"/>
    <n v="111.7"/>
    <n v="109.7"/>
    <n v="109.8"/>
    <n v="109"/>
    <n v="111.5"/>
    <n v="107.9"/>
    <n v="110"/>
    <x v="34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x v="34"/>
    <x v="32"/>
    <n v="116.5"/>
    <n v="114.5"/>
    <x v="32"/>
    <x v="0"/>
    <x v="29"/>
    <n v="112.6"/>
    <n v="110.6"/>
    <n v="110.5"/>
    <n v="109.6"/>
    <n v="111.8"/>
    <n v="108.3"/>
    <n v="110.6"/>
    <x v="24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x v="35"/>
    <x v="33"/>
    <n v="114.8"/>
    <n v="111.3"/>
    <x v="33"/>
    <x v="11"/>
    <x v="30"/>
    <n v="111.9"/>
    <n v="109.7"/>
    <n v="110.8"/>
    <n v="109.8"/>
    <n v="111.5"/>
    <n v="108"/>
    <n v="110.5"/>
    <x v="35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x v="36"/>
    <x v="34"/>
    <n v="115.8"/>
    <n v="113.2"/>
    <x v="34"/>
    <x v="11"/>
    <x v="31"/>
    <n v="112.3"/>
    <n v="110.3"/>
    <n v="110.7"/>
    <n v="109.7"/>
    <n v="111.6"/>
    <n v="108.2"/>
    <n v="110.6"/>
    <x v="36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x v="37"/>
    <x v="35"/>
    <n v="117.1"/>
    <n v="114.5"/>
    <x v="35"/>
    <x v="0"/>
    <x v="32"/>
    <n v="112.9"/>
    <n v="110.9"/>
    <n v="110.8"/>
    <n v="109.9"/>
    <n v="112"/>
    <n v="108.7"/>
    <n v="110.9"/>
    <x v="28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x v="38"/>
    <x v="36"/>
    <n v="115.3"/>
    <n v="111.7"/>
    <x v="36"/>
    <x v="12"/>
    <x v="20"/>
    <n v="112.6"/>
    <n v="110.4"/>
    <n v="111.3"/>
    <n v="110.3"/>
    <n v="111.6"/>
    <n v="108.7"/>
    <n v="111"/>
    <x v="37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x v="37"/>
    <x v="37"/>
    <n v="116.4"/>
    <n v="113.3"/>
    <x v="37"/>
    <x v="12"/>
    <x v="33"/>
    <n v="112.8"/>
    <n v="110.7"/>
    <n v="111.1"/>
    <n v="110.1"/>
    <n v="111.8"/>
    <n v="108.7"/>
    <n v="110.9"/>
    <x v="36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x v="39"/>
    <x v="38"/>
    <n v="117.5"/>
    <n v="114.9"/>
    <x v="38"/>
    <x v="0"/>
    <x v="34"/>
    <n v="113.4"/>
    <n v="111.4"/>
    <n v="111.2"/>
    <n v="110.2"/>
    <n v="112.4"/>
    <n v="108.9"/>
    <n v="111.3"/>
    <x v="38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x v="34"/>
    <x v="39"/>
    <n v="115.8"/>
    <n v="112.1"/>
    <x v="39"/>
    <x v="13"/>
    <x v="23"/>
    <n v="113"/>
    <n v="110.8"/>
    <n v="111.6"/>
    <n v="110.9"/>
    <n v="111.8"/>
    <n v="109.2"/>
    <n v="111.4"/>
    <x v="26"/>
  </r>
  <r>
    <x v="2"/>
    <x v="1"/>
    <x v="2"/>
    <n v="120.7"/>
    <n v="119.3"/>
    <n v="121"/>
    <n v="116.1"/>
    <n v="106.9"/>
    <n v="118.7"/>
    <n v="116.3"/>
    <n v="109.8"/>
    <n v="99.6"/>
    <n v="111.8"/>
    <n v="112.7"/>
    <n v="119.3"/>
    <x v="40"/>
    <x v="40"/>
    <n v="116.8"/>
    <n v="113.7"/>
    <x v="40"/>
    <x v="13"/>
    <x v="35"/>
    <n v="113.2"/>
    <n v="111.2"/>
    <n v="111.4"/>
    <n v="110.6"/>
    <n v="112"/>
    <n v="109"/>
    <n v="111.3"/>
    <x v="24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x v="41"/>
    <x v="41"/>
    <n v="118.1"/>
    <n v="116.1"/>
    <x v="41"/>
    <x v="0"/>
    <x v="34"/>
    <n v="113.7"/>
    <n v="111.8"/>
    <n v="111.2"/>
    <n v="110.5"/>
    <n v="113"/>
    <n v="108.9"/>
    <n v="111.5"/>
    <x v="39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x v="42"/>
    <x v="42"/>
    <n v="116.3"/>
    <n v="112.5"/>
    <x v="42"/>
    <x v="14"/>
    <x v="23"/>
    <n v="113.4"/>
    <n v="111"/>
    <n v="111.2"/>
    <n v="111.2"/>
    <n v="112.5"/>
    <n v="109.1"/>
    <n v="111.4"/>
    <x v="40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x v="43"/>
    <x v="43"/>
    <n v="117.4"/>
    <n v="114.6"/>
    <x v="43"/>
    <x v="14"/>
    <x v="35"/>
    <n v="113.6"/>
    <n v="111.5"/>
    <n v="111.2"/>
    <n v="110.9"/>
    <n v="112.7"/>
    <n v="109"/>
    <n v="111.5"/>
    <x v="41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x v="42"/>
    <x v="44"/>
    <n v="118.7"/>
    <n v="116.8"/>
    <x v="44"/>
    <x v="0"/>
    <x v="34"/>
    <n v="114.1"/>
    <n v="112.1"/>
    <n v="111.4"/>
    <n v="110.9"/>
    <n v="113.1"/>
    <n v="108.9"/>
    <n v="111.8"/>
    <x v="42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x v="44"/>
    <x v="45"/>
    <n v="116.8"/>
    <n v="112.9"/>
    <x v="32"/>
    <x v="15"/>
    <x v="20"/>
    <n v="114.1"/>
    <n v="111.2"/>
    <n v="111.3"/>
    <n v="111.5"/>
    <n v="112.9"/>
    <n v="109.3"/>
    <n v="111.7"/>
    <x v="43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x v="45"/>
    <x v="46"/>
    <n v="118"/>
    <n v="115.2"/>
    <x v="45"/>
    <x v="15"/>
    <x v="35"/>
    <n v="114.1"/>
    <n v="111.8"/>
    <n v="111.3"/>
    <n v="111.2"/>
    <n v="113"/>
    <n v="109.1"/>
    <n v="111.8"/>
    <x v="44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x v="46"/>
    <x v="47"/>
    <n v="119.7"/>
    <n v="117.3"/>
    <x v="46"/>
    <x v="0"/>
    <x v="36"/>
    <n v="114.9"/>
    <n v="112.8"/>
    <n v="112.2"/>
    <n v="111.4"/>
    <n v="114.3"/>
    <n v="108"/>
    <n v="112.3"/>
    <x v="45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x v="47"/>
    <x v="48"/>
    <n v="117.4"/>
    <n v="113.2"/>
    <x v="35"/>
    <x v="14"/>
    <x v="37"/>
    <n v="114.3"/>
    <n v="111.4"/>
    <n v="111.5"/>
    <n v="111.8"/>
    <n v="115.1"/>
    <n v="108.7"/>
    <n v="112.2"/>
    <x v="46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x v="48"/>
    <x v="49"/>
    <n v="118.8"/>
    <n v="115.6"/>
    <x v="47"/>
    <x v="14"/>
    <x v="32"/>
    <n v="114.6"/>
    <n v="112.3"/>
    <n v="111.8"/>
    <n v="111.6"/>
    <n v="114.8"/>
    <n v="108.3"/>
    <n v="112.3"/>
    <x v="47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x v="49"/>
    <x v="50"/>
    <n v="120.7"/>
    <n v="118.3"/>
    <x v="48"/>
    <x v="0"/>
    <x v="38"/>
    <n v="115.4"/>
    <n v="113.4"/>
    <n v="113.2"/>
    <n v="111.8"/>
    <n v="115.5"/>
    <n v="108.8"/>
    <n v="113.1"/>
    <x v="48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x v="50"/>
    <x v="51"/>
    <n v="118"/>
    <n v="113.6"/>
    <x v="49"/>
    <x v="16"/>
    <x v="22"/>
    <n v="114.9"/>
    <n v="111.5"/>
    <n v="113"/>
    <n v="112.4"/>
    <n v="117.8"/>
    <n v="109.7"/>
    <n v="113.5"/>
    <x v="49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x v="51"/>
    <x v="52"/>
    <n v="119.6"/>
    <n v="116.3"/>
    <x v="50"/>
    <x v="16"/>
    <x v="39"/>
    <n v="115.2"/>
    <n v="112.7"/>
    <n v="113.1"/>
    <n v="112.1"/>
    <n v="116.8"/>
    <n v="109.2"/>
    <n v="113.3"/>
    <x v="50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x v="52"/>
    <x v="52"/>
    <n v="120.9"/>
    <n v="118.8"/>
    <x v="51"/>
    <x v="0"/>
    <x v="40"/>
    <n v="115.9"/>
    <n v="114"/>
    <n v="113.2"/>
    <n v="112.2"/>
    <n v="116.2"/>
    <n v="109.4"/>
    <n v="113.5"/>
    <x v="51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x v="53"/>
    <x v="53"/>
    <n v="118.6"/>
    <n v="114.1"/>
    <x v="52"/>
    <x v="17"/>
    <x v="41"/>
    <n v="115.3"/>
    <n v="112.2"/>
    <n v="112.5"/>
    <n v="112.9"/>
    <n v="119.2"/>
    <n v="110.5"/>
    <n v="113.9"/>
    <x v="52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x v="54"/>
    <x v="54"/>
    <n v="120"/>
    <n v="116.8"/>
    <x v="53"/>
    <x v="17"/>
    <x v="42"/>
    <n v="115.6"/>
    <n v="113.3"/>
    <n v="112.8"/>
    <n v="112.6"/>
    <n v="118"/>
    <n v="109.9"/>
    <n v="113.7"/>
    <x v="53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x v="52"/>
    <x v="55"/>
    <n v="121.7"/>
    <n v="119.2"/>
    <x v="54"/>
    <x v="0"/>
    <x v="43"/>
    <n v="116.7"/>
    <n v="114.5"/>
    <n v="112.8"/>
    <n v="112.6"/>
    <n v="116.6"/>
    <n v="109.1"/>
    <n v="113.7"/>
    <x v="54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x v="55"/>
    <x v="56"/>
    <n v="119.2"/>
    <n v="114.5"/>
    <x v="55"/>
    <x v="18"/>
    <x v="41"/>
    <n v="115.5"/>
    <n v="112.3"/>
    <n v="111.2"/>
    <n v="113.4"/>
    <n v="120"/>
    <n v="110"/>
    <n v="113.6"/>
    <x v="50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x v="56"/>
    <x v="57"/>
    <n v="120.7"/>
    <n v="117.2"/>
    <x v="56"/>
    <x v="18"/>
    <x v="44"/>
    <n v="116.1"/>
    <n v="113.7"/>
    <n v="112"/>
    <n v="113.1"/>
    <n v="118.6"/>
    <n v="109.5"/>
    <n v="113.7"/>
    <x v="55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x v="57"/>
    <x v="58"/>
    <n v="122.7"/>
    <n v="120.3"/>
    <x v="57"/>
    <x v="0"/>
    <x v="45"/>
    <n v="117.5"/>
    <n v="115.3"/>
    <n v="112.6"/>
    <n v="113"/>
    <n v="116.9"/>
    <n v="109.3"/>
    <n v="114"/>
    <x v="56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x v="56"/>
    <x v="56"/>
    <n v="119.6"/>
    <n v="114.9"/>
    <x v="58"/>
    <x v="19"/>
    <x v="46"/>
    <n v="115.8"/>
    <n v="112.6"/>
    <n v="111"/>
    <n v="113.6"/>
    <n v="120.2"/>
    <n v="110.1"/>
    <n v="113.7"/>
    <x v="57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x v="58"/>
    <x v="59"/>
    <n v="121.5"/>
    <n v="118.1"/>
    <x v="59"/>
    <x v="19"/>
    <x v="47"/>
    <n v="116.7"/>
    <n v="114.3"/>
    <n v="111.8"/>
    <n v="113.3"/>
    <n v="118.8"/>
    <n v="109.6"/>
    <n v="113.9"/>
    <x v="55"/>
  </r>
  <r>
    <x v="0"/>
    <x v="1"/>
    <x v="10"/>
    <n v="122.7"/>
    <n v="122.6"/>
    <n v="119.9"/>
    <n v="124"/>
    <n v="110.5"/>
    <n v="128.80000000000001"/>
    <n v="152"/>
    <n v="116.2"/>
    <n v="103.3"/>
    <n v="115.8"/>
    <n v="116.8"/>
    <n v="124.5"/>
    <x v="59"/>
    <x v="57"/>
    <n v="123.3"/>
    <n v="120.5"/>
    <x v="60"/>
    <x v="0"/>
    <x v="48"/>
    <n v="118.1"/>
    <n v="115.9"/>
    <n v="112"/>
    <n v="113.3"/>
    <n v="117.2"/>
    <n v="108.8"/>
    <n v="114.1"/>
    <x v="58"/>
  </r>
  <r>
    <x v="1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x v="58"/>
    <x v="60"/>
    <n v="120.3"/>
    <n v="115.4"/>
    <x v="61"/>
    <x v="20"/>
    <x v="24"/>
    <n v="116.4"/>
    <n v="113"/>
    <n v="109.7"/>
    <n v="114"/>
    <n v="120.3"/>
    <n v="109.6"/>
    <n v="113.4"/>
    <x v="59"/>
  </r>
  <r>
    <x v="2"/>
    <x v="1"/>
    <x v="10"/>
    <n v="123.3"/>
    <n v="123.7"/>
    <n v="121"/>
    <n v="124.2"/>
    <n v="107.8"/>
    <n v="125.7"/>
    <n v="152.4"/>
    <n v="117.2"/>
    <n v="102.1"/>
    <n v="118.7"/>
    <n v="116.4"/>
    <n v="125.6"/>
    <x v="57"/>
    <x v="61"/>
    <n v="122.1"/>
    <n v="118.4"/>
    <x v="62"/>
    <x v="20"/>
    <x v="49"/>
    <n v="117.3"/>
    <n v="114.8"/>
    <n v="110.8"/>
    <n v="113.7"/>
    <n v="119"/>
    <n v="109.1"/>
    <n v="113.8"/>
    <x v="55"/>
  </r>
  <r>
    <x v="0"/>
    <x v="1"/>
    <x v="11"/>
    <n v="122.4"/>
    <n v="122.4"/>
    <n v="121.8"/>
    <n v="124.2"/>
    <n v="110.2"/>
    <n v="128.6"/>
    <n v="140.30000000000001"/>
    <n v="116.3"/>
    <n v="102"/>
    <n v="116"/>
    <n v="117.3"/>
    <n v="124.8"/>
    <x v="49"/>
    <x v="62"/>
    <n v="123.8"/>
    <n v="120.6"/>
    <x v="63"/>
    <x v="0"/>
    <x v="50"/>
    <n v="118.2"/>
    <n v="116.2"/>
    <n v="111.5"/>
    <n v="113.3"/>
    <n v="117.7"/>
    <n v="109.4"/>
    <n v="114.2"/>
    <x v="53"/>
  </r>
  <r>
    <x v="1"/>
    <x v="1"/>
    <x v="11"/>
    <n v="124"/>
    <n v="124.7"/>
    <n v="126.3"/>
    <n v="124.9"/>
    <n v="103"/>
    <n v="122.3"/>
    <n v="141"/>
    <n v="120.1"/>
    <n v="97.8"/>
    <n v="125.4"/>
    <n v="116.1"/>
    <n v="127.6"/>
    <x v="60"/>
    <x v="63"/>
    <n v="120.7"/>
    <n v="115.8"/>
    <x v="64"/>
    <x v="21"/>
    <x v="29"/>
    <n v="116.8"/>
    <n v="113.2"/>
    <n v="108.8"/>
    <n v="114.3"/>
    <n v="120.7"/>
    <n v="110.4"/>
    <n v="113.4"/>
    <x v="60"/>
  </r>
  <r>
    <x v="2"/>
    <x v="1"/>
    <x v="11"/>
    <n v="122.9"/>
    <n v="123.2"/>
    <n v="123.5"/>
    <n v="124.5"/>
    <n v="107.6"/>
    <n v="125.7"/>
    <n v="140.5"/>
    <n v="117.6"/>
    <n v="100.6"/>
    <n v="119.1"/>
    <n v="116.8"/>
    <n v="126.1"/>
    <x v="61"/>
    <x v="53"/>
    <n v="122.6"/>
    <n v="118.6"/>
    <x v="65"/>
    <x v="21"/>
    <x v="51"/>
    <n v="117.5"/>
    <n v="115.1"/>
    <n v="110.1"/>
    <n v="113.9"/>
    <n v="119.5"/>
    <n v="109.8"/>
    <n v="113.8"/>
    <x v="61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x v="62"/>
    <x v="64"/>
    <n v="124.4"/>
    <n v="121.6"/>
    <x v="66"/>
    <x v="0"/>
    <x v="52"/>
    <n v="118.9"/>
    <n v="116.6"/>
    <n v="111"/>
    <n v="114"/>
    <n v="118.2"/>
    <n v="110.2"/>
    <n v="114.5"/>
    <x v="53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x v="63"/>
    <x v="65"/>
    <n v="121"/>
    <n v="116.1"/>
    <x v="67"/>
    <x v="22"/>
    <x v="34"/>
    <n v="117.2"/>
    <n v="113.7"/>
    <n v="107.9"/>
    <n v="114.6"/>
    <n v="120.8"/>
    <n v="111.4"/>
    <n v="113.4"/>
    <x v="62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x v="64"/>
    <x v="66"/>
    <n v="123.1"/>
    <n v="119.3"/>
    <x v="68"/>
    <x v="22"/>
    <x v="53"/>
    <n v="118.1"/>
    <n v="115.5"/>
    <n v="109.4"/>
    <n v="114.3"/>
    <n v="119.7"/>
    <n v="110.7"/>
    <n v="114"/>
    <x v="48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x v="62"/>
    <x v="67"/>
    <n v="125.4"/>
    <n v="122.7"/>
    <x v="69"/>
    <x v="0"/>
    <x v="54"/>
    <n v="119.6"/>
    <n v="117.7"/>
    <n v="110.9"/>
    <n v="114.8"/>
    <n v="118.7"/>
    <n v="110.8"/>
    <n v="115"/>
    <x v="63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x v="65"/>
    <x v="68"/>
    <n v="121.3"/>
    <n v="116.5"/>
    <x v="70"/>
    <x v="23"/>
    <x v="42"/>
    <n v="117.7"/>
    <n v="114.1"/>
    <n v="106.8"/>
    <n v="114.9"/>
    <n v="120.4"/>
    <n v="111.7"/>
    <n v="113.2"/>
    <x v="64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x v="64"/>
    <x v="69"/>
    <n v="123.8"/>
    <n v="120.1"/>
    <x v="63"/>
    <x v="23"/>
    <x v="55"/>
    <n v="118.7"/>
    <n v="116.3"/>
    <n v="108.7"/>
    <n v="114.9"/>
    <n v="119.7"/>
    <n v="111.2"/>
    <n v="114.1"/>
    <x v="65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x v="64"/>
    <x v="70"/>
    <n v="126"/>
    <n v="122.9"/>
    <x v="71"/>
    <x v="0"/>
    <x v="56"/>
    <n v="120.2"/>
    <n v="118.2"/>
    <n v="111.6"/>
    <n v="115.5"/>
    <n v="119.4"/>
    <n v="110.8"/>
    <n v="115.5"/>
    <x v="58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x v="66"/>
    <x v="71"/>
    <n v="121.7"/>
    <n v="116.9"/>
    <x v="72"/>
    <x v="24"/>
    <x v="36"/>
    <n v="118"/>
    <n v="114.3"/>
    <n v="108.4"/>
    <n v="115.4"/>
    <n v="120.6"/>
    <n v="111.3"/>
    <n v="113.8"/>
    <x v="57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x v="67"/>
    <x v="60"/>
    <n v="124.3"/>
    <n v="120.4"/>
    <x v="73"/>
    <x v="24"/>
    <x v="57"/>
    <n v="119.2"/>
    <n v="116.7"/>
    <n v="109.9"/>
    <n v="115.4"/>
    <n v="120.1"/>
    <n v="111"/>
    <n v="114.7"/>
    <x v="66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x v="61"/>
    <x v="72"/>
    <n v="126.4"/>
    <n v="123.3"/>
    <x v="74"/>
    <x v="0"/>
    <x v="58"/>
    <n v="120.9"/>
    <n v="118.6"/>
    <n v="111.9"/>
    <n v="116.2"/>
    <n v="119.9"/>
    <n v="111.6"/>
    <n v="116"/>
    <x v="67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x v="68"/>
    <x v="73"/>
    <n v="122.1"/>
    <n v="117.2"/>
    <x v="54"/>
    <x v="25"/>
    <x v="47"/>
    <n v="118.4"/>
    <n v="114.6"/>
    <n v="108.4"/>
    <n v="115.6"/>
    <n v="121.7"/>
    <n v="111.8"/>
    <n v="114.2"/>
    <x v="65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x v="60"/>
    <x v="74"/>
    <n v="124.7"/>
    <n v="120.8"/>
    <x v="75"/>
    <x v="25"/>
    <x v="59"/>
    <n v="119.7"/>
    <n v="117.1"/>
    <n v="110.1"/>
    <n v="115.9"/>
    <n v="121"/>
    <n v="111.7"/>
    <n v="115.1"/>
    <x v="51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x v="69"/>
    <x v="75"/>
    <n v="127.3"/>
    <n v="124.1"/>
    <x v="76"/>
    <x v="0"/>
    <x v="60"/>
    <n v="121.5"/>
    <n v="119.4"/>
    <n v="113.3"/>
    <n v="116.7"/>
    <n v="120.5"/>
    <n v="112.3"/>
    <n v="116.9"/>
    <x v="68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x v="70"/>
    <x v="76"/>
    <n v="122.4"/>
    <n v="117.4"/>
    <x v="62"/>
    <x v="26"/>
    <x v="61"/>
    <n v="118.7"/>
    <n v="114.9"/>
    <n v="110.8"/>
    <n v="116"/>
    <n v="122"/>
    <n v="112.4"/>
    <n v="115.2"/>
    <x v="51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x v="71"/>
    <x v="77"/>
    <n v="125.4"/>
    <n v="121.3"/>
    <x v="77"/>
    <x v="26"/>
    <x v="62"/>
    <n v="120.2"/>
    <n v="117.7"/>
    <n v="112"/>
    <n v="116.3"/>
    <n v="121.4"/>
    <n v="112.3"/>
    <n v="116.1"/>
    <x v="69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x v="54"/>
    <x v="78"/>
    <n v="128.4"/>
    <n v="125.1"/>
    <x v="78"/>
    <x v="0"/>
    <x v="63"/>
    <n v="122.8"/>
    <n v="120.4"/>
    <n v="114.2"/>
    <n v="117.9"/>
    <n v="122"/>
    <n v="113"/>
    <n v="117.9"/>
    <x v="70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x v="72"/>
    <x v="79"/>
    <n v="123.2"/>
    <n v="117.6"/>
    <x v="57"/>
    <x v="27"/>
    <x v="64"/>
    <n v="119.2"/>
    <n v="115.4"/>
    <n v="111.7"/>
    <n v="116.2"/>
    <n v="123.8"/>
    <n v="112.5"/>
    <n v="116"/>
    <x v="71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x v="73"/>
    <x v="80"/>
    <n v="126.4"/>
    <n v="122"/>
    <x v="79"/>
    <x v="27"/>
    <x v="65"/>
    <n v="121.1"/>
    <n v="118.5"/>
    <n v="112.9"/>
    <n v="116.9"/>
    <n v="123.1"/>
    <n v="112.8"/>
    <n v="117"/>
    <x v="72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x v="74"/>
    <x v="81"/>
    <n v="128.80000000000001"/>
    <n v="125.5"/>
    <x v="80"/>
    <x v="0"/>
    <x v="66"/>
    <n v="123"/>
    <n v="120.8"/>
    <n v="114.1"/>
    <n v="118"/>
    <n v="122.9"/>
    <n v="112.7"/>
    <n v="118.1"/>
    <x v="73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x v="75"/>
    <x v="82"/>
    <n v="123.5"/>
    <n v="117.9"/>
    <x v="81"/>
    <x v="28"/>
    <x v="38"/>
    <n v="119.5"/>
    <n v="116"/>
    <n v="111.5"/>
    <n v="116.6"/>
    <n v="125.4"/>
    <n v="111.7"/>
    <n v="116.3"/>
    <x v="68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x v="76"/>
    <x v="83"/>
    <n v="126.7"/>
    <n v="122.3"/>
    <x v="82"/>
    <x v="28"/>
    <x v="67"/>
    <n v="121.3"/>
    <n v="119"/>
    <n v="112.7"/>
    <n v="117.2"/>
    <n v="124.4"/>
    <n v="112.3"/>
    <n v="117.2"/>
    <x v="74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x v="77"/>
    <x v="73"/>
    <n v="129.5"/>
    <n v="126.3"/>
    <x v="83"/>
    <x v="0"/>
    <x v="68"/>
    <n v="123.7"/>
    <n v="121.1"/>
    <n v="113.6"/>
    <n v="118.5"/>
    <n v="123.6"/>
    <n v="112.5"/>
    <n v="118.2"/>
    <x v="75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x v="78"/>
    <x v="84"/>
    <n v="123.7"/>
    <n v="118.2"/>
    <x v="60"/>
    <x v="29"/>
    <x v="38"/>
    <n v="120"/>
    <n v="116.6"/>
    <n v="109.9"/>
    <n v="117.2"/>
    <n v="126.2"/>
    <n v="112"/>
    <n v="116.2"/>
    <x v="76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x v="79"/>
    <x v="85"/>
    <n v="127.2"/>
    <n v="122.9"/>
    <x v="84"/>
    <x v="29"/>
    <x v="56"/>
    <n v="122"/>
    <n v="119.4"/>
    <n v="111.7"/>
    <n v="117.8"/>
    <n v="125.1"/>
    <n v="112.3"/>
    <n v="117.2"/>
    <x v="77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x v="80"/>
    <x v="86"/>
    <n v="130.4"/>
    <n v="126.8"/>
    <x v="85"/>
    <x v="0"/>
    <x v="69"/>
    <n v="124.5"/>
    <n v="121.4"/>
    <n v="113.8"/>
    <n v="119.6"/>
    <n v="124.5"/>
    <n v="113.7"/>
    <n v="118.8"/>
    <x v="78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x v="81"/>
    <x v="87"/>
    <n v="124"/>
    <n v="118.6"/>
    <x v="86"/>
    <x v="30"/>
    <x v="64"/>
    <n v="120.4"/>
    <n v="117.1"/>
    <n v="109.1"/>
    <n v="117.3"/>
    <n v="126.5"/>
    <n v="112.9"/>
    <n v="116.2"/>
    <x v="79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x v="82"/>
    <x v="88"/>
    <n v="127.9"/>
    <n v="123.4"/>
    <x v="87"/>
    <x v="30"/>
    <x v="70"/>
    <n v="122.6"/>
    <n v="119.8"/>
    <n v="111.3"/>
    <n v="118.3"/>
    <n v="125.7"/>
    <n v="113.4"/>
    <n v="117.5"/>
    <x v="80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x v="83"/>
    <x v="89"/>
    <n v="131.1"/>
    <n v="127.3"/>
    <x v="88"/>
    <x v="0"/>
    <x v="71"/>
    <n v="125.1"/>
    <n v="122"/>
    <n v="113.8"/>
    <n v="120.1"/>
    <n v="125.1"/>
    <n v="114.2"/>
    <n v="119.2"/>
    <x v="81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x v="84"/>
    <x v="90"/>
    <n v="124.4"/>
    <n v="118.8"/>
    <x v="89"/>
    <x v="31"/>
    <x v="61"/>
    <n v="120.7"/>
    <n v="117.7"/>
    <n v="109.3"/>
    <n v="117.7"/>
    <n v="126.5"/>
    <n v="113.5"/>
    <n v="116.5"/>
    <x v="82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x v="85"/>
    <x v="91"/>
    <n v="128.5"/>
    <n v="123.8"/>
    <x v="90"/>
    <x v="31"/>
    <x v="72"/>
    <n v="123"/>
    <n v="120.4"/>
    <n v="111.4"/>
    <n v="118.7"/>
    <n v="125.9"/>
    <n v="113.9"/>
    <n v="117.9"/>
    <x v="75"/>
  </r>
  <r>
    <x v="0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x v="86"/>
    <x v="92"/>
    <n v="132.1"/>
    <n v="128.19999999999999"/>
    <x v="91"/>
    <x v="0"/>
    <x v="73"/>
    <n v="125.6"/>
    <n v="122.6"/>
    <n v="114"/>
    <n v="120.9"/>
    <n v="125.8"/>
    <n v="114.2"/>
    <n v="119.6"/>
    <x v="83"/>
  </r>
  <r>
    <x v="1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x v="87"/>
    <x v="93"/>
    <n v="125"/>
    <n v="119.3"/>
    <x v="92"/>
    <x v="32"/>
    <x v="64"/>
    <n v="121"/>
    <n v="118.1"/>
    <n v="109.3"/>
    <n v="117.9"/>
    <n v="126.6"/>
    <n v="113.3"/>
    <n v="116.6"/>
    <x v="84"/>
  </r>
  <r>
    <x v="2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x v="88"/>
    <x v="94"/>
    <n v="129.30000000000001"/>
    <n v="124.5"/>
    <x v="93"/>
    <x v="32"/>
    <x v="74"/>
    <n v="123.4"/>
    <n v="120.9"/>
    <n v="111.5"/>
    <n v="119.2"/>
    <n v="126.3"/>
    <n v="113.8"/>
    <n v="118.1"/>
    <x v="85"/>
  </r>
  <r>
    <x v="0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x v="89"/>
    <x v="82"/>
    <n v="132.5"/>
    <n v="128.5"/>
    <x v="94"/>
    <x v="0"/>
    <x v="75"/>
    <n v="126"/>
    <n v="123.1"/>
    <n v="114"/>
    <n v="121.6"/>
    <n v="125.6"/>
    <n v="114.1"/>
    <n v="119.8"/>
    <x v="86"/>
  </r>
  <r>
    <x v="1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x v="81"/>
    <x v="95"/>
    <n v="125.4"/>
    <n v="119.5"/>
    <x v="95"/>
    <x v="31"/>
    <x v="76"/>
    <n v="121"/>
    <n v="118.6"/>
    <n v="109.3"/>
    <n v="118.1"/>
    <n v="126.6"/>
    <n v="113.2"/>
    <n v="116.7"/>
    <x v="87"/>
  </r>
  <r>
    <x v="2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x v="89"/>
    <x v="96"/>
    <n v="129.69999999999999"/>
    <n v="124.8"/>
    <x v="83"/>
    <x v="31"/>
    <x v="77"/>
    <n v="123.6"/>
    <n v="121.4"/>
    <n v="111.5"/>
    <n v="119.6"/>
    <n v="126.2"/>
    <n v="113.7"/>
    <n v="118.3"/>
    <x v="75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x v="89"/>
    <x v="94"/>
    <n v="133.19999999999999"/>
    <n v="128.9"/>
    <x v="96"/>
    <x v="0"/>
    <x v="78"/>
    <n v="126.6"/>
    <n v="123.7"/>
    <n v="113.6"/>
    <n v="121.4"/>
    <n v="126.2"/>
    <n v="114.9"/>
    <n v="120.1"/>
    <x v="88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x v="82"/>
    <x v="97"/>
    <n v="125.8"/>
    <n v="119.8"/>
    <x v="97"/>
    <x v="33"/>
    <x v="79"/>
    <n v="121.6"/>
    <n v="119.1"/>
    <n v="108.9"/>
    <n v="118.5"/>
    <n v="126.4"/>
    <n v="114"/>
    <n v="116.8"/>
    <x v="82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x v="90"/>
    <x v="98"/>
    <n v="130.30000000000001"/>
    <n v="125.1"/>
    <x v="98"/>
    <x v="33"/>
    <x v="80"/>
    <n v="124.2"/>
    <n v="122"/>
    <n v="111.1"/>
    <n v="119.8"/>
    <n v="126.3"/>
    <n v="114.5"/>
    <n v="118.5"/>
    <x v="89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x v="79"/>
    <x v="99"/>
    <n v="133.9"/>
    <n v="129.80000000000001"/>
    <x v="99"/>
    <x v="0"/>
    <x v="81"/>
    <n v="127.1"/>
    <n v="124.3"/>
    <n v="113.9"/>
    <n v="122.3"/>
    <n v="127.1"/>
    <n v="116.8"/>
    <n v="120.9"/>
    <x v="86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x v="91"/>
    <x v="100"/>
    <n v="126.2"/>
    <n v="120.1"/>
    <x v="100"/>
    <x v="34"/>
    <x v="76"/>
    <n v="121.8"/>
    <n v="119.5"/>
    <n v="109.1"/>
    <n v="118.8"/>
    <n v="126.3"/>
    <n v="116.2"/>
    <n v="117.2"/>
    <x v="90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x v="92"/>
    <x v="101"/>
    <n v="130.9"/>
    <n v="125.8"/>
    <x v="101"/>
    <x v="34"/>
    <x v="82"/>
    <n v="124.6"/>
    <n v="122.5"/>
    <n v="111.4"/>
    <n v="120.3"/>
    <n v="126.6"/>
    <n v="116.6"/>
    <n v="119.1"/>
    <x v="91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x v="93"/>
    <x v="102"/>
    <n v="134.4"/>
    <n v="130.19999999999999"/>
    <x v="102"/>
    <x v="0"/>
    <x v="83"/>
    <n v="127.7"/>
    <n v="124.8"/>
    <n v="113.6"/>
    <n v="122.5"/>
    <n v="127.5"/>
    <n v="117.4"/>
    <n v="121.1"/>
    <x v="92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x v="53"/>
    <x v="103"/>
    <n v="126.4"/>
    <n v="120.3"/>
    <x v="71"/>
    <x v="35"/>
    <x v="84"/>
    <n v="122.3"/>
    <n v="119.7"/>
    <n v="108.5"/>
    <n v="119.1"/>
    <n v="126.4"/>
    <n v="117.1"/>
    <n v="117.3"/>
    <x v="90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x v="77"/>
    <x v="104"/>
    <n v="131.30000000000001"/>
    <n v="126.1"/>
    <x v="103"/>
    <x v="35"/>
    <x v="85"/>
    <n v="125.1"/>
    <n v="122.9"/>
    <n v="110.9"/>
    <n v="120.6"/>
    <n v="126.9"/>
    <n v="117.3"/>
    <n v="119.3"/>
    <x v="91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x v="83"/>
    <x v="105"/>
    <n v="135"/>
    <n v="130.6"/>
    <x v="104"/>
    <x v="0"/>
    <x v="83"/>
    <n v="128"/>
    <n v="125.2"/>
    <n v="114.4"/>
    <n v="123.2"/>
    <n v="127.9"/>
    <n v="118.4"/>
    <n v="121.7"/>
    <x v="93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x v="83"/>
    <x v="106"/>
    <n v="126.8"/>
    <n v="120.5"/>
    <x v="105"/>
    <x v="36"/>
    <x v="86"/>
    <n v="122.8"/>
    <n v="120"/>
    <n v="110"/>
    <n v="119.5"/>
    <n v="127.6"/>
    <n v="117.6"/>
    <n v="118.2"/>
    <x v="94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x v="83"/>
    <x v="107"/>
    <n v="131.80000000000001"/>
    <n v="126.4"/>
    <x v="106"/>
    <x v="36"/>
    <x v="87"/>
    <n v="125.5"/>
    <n v="123.2"/>
    <n v="112.1"/>
    <n v="121.1"/>
    <n v="127.7"/>
    <n v="118.1"/>
    <n v="120"/>
    <x v="95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x v="94"/>
    <x v="108"/>
    <n v="135.4"/>
    <n v="131.1"/>
    <x v="107"/>
    <x v="0"/>
    <x v="88"/>
    <n v="128.5"/>
    <n v="125.8"/>
    <n v="115.1"/>
    <n v="123.6"/>
    <n v="129.1"/>
    <n v="119.7"/>
    <n v="122.5"/>
    <x v="96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x v="95"/>
    <x v="109"/>
    <n v="127.2"/>
    <n v="120.7"/>
    <x v="108"/>
    <x v="37"/>
    <x v="89"/>
    <n v="123.2"/>
    <n v="120.3"/>
    <n v="110.7"/>
    <n v="119.8"/>
    <n v="128"/>
    <n v="118.5"/>
    <n v="118.7"/>
    <x v="85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x v="96"/>
    <x v="110"/>
    <n v="132.19999999999999"/>
    <n v="126.8"/>
    <x v="109"/>
    <x v="37"/>
    <x v="80"/>
    <n v="126"/>
    <n v="123.7"/>
    <n v="112.8"/>
    <n v="121.5"/>
    <n v="128.5"/>
    <n v="119.2"/>
    <n v="120.7"/>
    <x v="97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x v="97"/>
    <x v="111"/>
    <n v="136.30000000000001"/>
    <n v="131.6"/>
    <x v="110"/>
    <x v="0"/>
    <x v="90"/>
    <n v="129.30000000000001"/>
    <n v="126.2"/>
    <n v="116.3"/>
    <n v="124.1"/>
    <n v="130.19999999999999"/>
    <n v="119.9"/>
    <n v="123.3"/>
    <x v="98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x v="98"/>
    <x v="112"/>
    <n v="127.6"/>
    <n v="121.1"/>
    <x v="84"/>
    <x v="38"/>
    <x v="49"/>
    <n v="123.2"/>
    <n v="120.6"/>
    <n v="112.3"/>
    <n v="119.9"/>
    <n v="129.30000000000001"/>
    <n v="118.8"/>
    <n v="119.6"/>
    <x v="88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x v="99"/>
    <x v="113"/>
    <n v="132.9"/>
    <n v="127.2"/>
    <x v="111"/>
    <x v="38"/>
    <x v="91"/>
    <n v="126.4"/>
    <n v="124.1"/>
    <n v="114.2"/>
    <n v="121.7"/>
    <n v="129.69999999999999"/>
    <n v="119.4"/>
    <n v="121.5"/>
    <x v="99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x v="100"/>
    <x v="114"/>
    <n v="137.19999999999999"/>
    <n v="132.19999999999999"/>
    <x v="112"/>
    <x v="0"/>
    <x v="92"/>
    <n v="130"/>
    <n v="126.7"/>
    <n v="116.4"/>
    <n v="125.2"/>
    <n v="130.80000000000001"/>
    <n v="120.9"/>
    <n v="123.8"/>
    <x v="100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x v="101"/>
    <x v="115"/>
    <n v="127.9"/>
    <n v="121.1"/>
    <x v="113"/>
    <x v="39"/>
    <x v="49"/>
    <n v="123.5"/>
    <n v="120.9"/>
    <n v="111.7"/>
    <n v="120.3"/>
    <n v="130.80000000000001"/>
    <n v="120"/>
    <n v="119.9"/>
    <x v="93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x v="102"/>
    <x v="116"/>
    <n v="133.5"/>
    <n v="127.6"/>
    <x v="114"/>
    <x v="39"/>
    <x v="93"/>
    <n v="126.9"/>
    <n v="124.5"/>
    <n v="113.9"/>
    <n v="122.4"/>
    <n v="130.80000000000001"/>
    <n v="120.5"/>
    <n v="121.9"/>
    <x v="101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x v="103"/>
    <x v="117"/>
    <n v="137.80000000000001"/>
    <n v="133"/>
    <x v="115"/>
    <x v="0"/>
    <x v="94"/>
    <n v="130.6"/>
    <n v="127"/>
    <n v="116"/>
    <n v="125.5"/>
    <n v="131.9"/>
    <n v="122"/>
    <n v="124.2"/>
    <x v="102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x v="100"/>
    <x v="118"/>
    <n v="128.30000000000001"/>
    <n v="121.4"/>
    <x v="116"/>
    <x v="40"/>
    <x v="47"/>
    <n v="123.9"/>
    <n v="121.2"/>
    <n v="110.4"/>
    <n v="120.6"/>
    <n v="131.5"/>
    <n v="120.9"/>
    <n v="119.9"/>
    <x v="103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x v="104"/>
    <x v="119"/>
    <n v="134.1"/>
    <n v="128.19999999999999"/>
    <x v="117"/>
    <x v="40"/>
    <x v="95"/>
    <n v="127.4"/>
    <n v="124.8"/>
    <n v="113.1"/>
    <n v="122.7"/>
    <n v="131.69999999999999"/>
    <n v="121.5"/>
    <n v="122.1"/>
    <x v="101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x v="105"/>
    <x v="120"/>
    <n v="138.5"/>
    <n v="133.5"/>
    <x v="118"/>
    <x v="0"/>
    <x v="96"/>
    <n v="131.1"/>
    <n v="127.8"/>
    <n v="117"/>
    <n v="125.7"/>
    <n v="132.19999999999999"/>
    <n v="122.8"/>
    <n v="124.9"/>
    <x v="104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x v="106"/>
    <x v="121"/>
    <n v="128.69999999999999"/>
    <n v="121.6"/>
    <x v="119"/>
    <x v="41"/>
    <x v="84"/>
    <n v="124.3"/>
    <n v="121.4"/>
    <n v="111.8"/>
    <n v="120.8"/>
    <n v="131.6"/>
    <n v="121.2"/>
    <n v="120.5"/>
    <x v="92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x v="107"/>
    <x v="122"/>
    <n v="134.6"/>
    <n v="128.6"/>
    <x v="102"/>
    <x v="41"/>
    <x v="97"/>
    <n v="127.9"/>
    <n v="125.4"/>
    <n v="114.3"/>
    <n v="122.9"/>
    <n v="131.80000000000001"/>
    <n v="122.1"/>
    <n v="122.8"/>
    <x v="105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x v="108"/>
    <x v="123"/>
    <n v="139.6"/>
    <n v="134.30000000000001"/>
    <x v="120"/>
    <x v="0"/>
    <x v="98"/>
    <n v="131.80000000000001"/>
    <n v="128.69999999999999"/>
    <n v="117.8"/>
    <n v="126.5"/>
    <n v="133"/>
    <n v="123"/>
    <n v="125.7"/>
    <x v="106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x v="109"/>
    <x v="124"/>
    <n v="129.1"/>
    <n v="121.9"/>
    <x v="78"/>
    <x v="42"/>
    <x v="99"/>
    <n v="124.5"/>
    <n v="121.8"/>
    <n v="112.8"/>
    <n v="121.2"/>
    <n v="131.9"/>
    <n v="120.8"/>
    <n v="120.9"/>
    <x v="97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x v="110"/>
    <x v="125"/>
    <n v="135.5"/>
    <n v="129.1"/>
    <x v="121"/>
    <x v="42"/>
    <x v="100"/>
    <n v="128.4"/>
    <n v="126.1"/>
    <n v="115.2"/>
    <n v="123.5"/>
    <n v="132.4"/>
    <n v="122.1"/>
    <n v="123.4"/>
    <x v="107"/>
  </r>
  <r>
    <x v="0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x v="107"/>
    <x v="126"/>
    <n v="139.9"/>
    <n v="134.5"/>
    <x v="122"/>
    <x v="0"/>
    <x v="101"/>
    <n v="132.1"/>
    <n v="129.1"/>
    <n v="118.2"/>
    <n v="126.9"/>
    <n v="133.69999999999999"/>
    <n v="123.5"/>
    <n v="126.1"/>
    <x v="108"/>
  </r>
  <r>
    <x v="1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x v="111"/>
    <x v="124"/>
    <n v="129.6"/>
    <n v="122.1"/>
    <x v="123"/>
    <x v="43"/>
    <x v="102"/>
    <n v="124.7"/>
    <n v="122.1"/>
    <n v="113.4"/>
    <n v="121.7"/>
    <n v="132.1"/>
    <n v="121.3"/>
    <n v="121.3"/>
    <x v="109"/>
  </r>
  <r>
    <x v="2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x v="112"/>
    <x v="127"/>
    <n v="135.80000000000001"/>
    <n v="129.30000000000001"/>
    <x v="124"/>
    <x v="43"/>
    <x v="103"/>
    <n v="128.6"/>
    <n v="126.4"/>
    <n v="115.7"/>
    <n v="124"/>
    <n v="132.80000000000001"/>
    <n v="122.6"/>
    <n v="123.8"/>
    <x v="110"/>
  </r>
  <r>
    <x v="0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x v="113"/>
    <x v="128"/>
    <n v="140.4"/>
    <n v="135.19999999999999"/>
    <x v="125"/>
    <x v="0"/>
    <x v="104"/>
    <n v="132.9"/>
    <n v="129.69999999999999"/>
    <n v="118.6"/>
    <n v="127.3"/>
    <n v="134.19999999999999"/>
    <n v="121.9"/>
    <n v="126.3"/>
    <x v="111"/>
  </r>
  <r>
    <x v="1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x v="114"/>
    <x v="129"/>
    <n v="130"/>
    <n v="122.2"/>
    <x v="126"/>
    <x v="44"/>
    <x v="105"/>
    <n v="125"/>
    <n v="122.3"/>
    <n v="113.7"/>
    <n v="121.8"/>
    <n v="132.30000000000001"/>
    <n v="119.9"/>
    <n v="121.4"/>
    <x v="112"/>
  </r>
  <r>
    <x v="2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x v="96"/>
    <x v="130"/>
    <n v="136.30000000000001"/>
    <n v="129.80000000000001"/>
    <x v="127"/>
    <x v="44"/>
    <x v="106"/>
    <n v="129.19999999999999"/>
    <n v="126.9"/>
    <n v="116"/>
    <n v="124.2"/>
    <n v="133.1"/>
    <n v="121.1"/>
    <n v="123.9"/>
    <x v="113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x v="115"/>
    <x v="130"/>
    <n v="140.69999999999999"/>
    <n v="135.80000000000001"/>
    <x v="128"/>
    <x v="0"/>
    <x v="107"/>
    <n v="133.19999999999999"/>
    <n v="129.9"/>
    <n v="119.1"/>
    <n v="127"/>
    <n v="134.6"/>
    <n v="122.3"/>
    <n v="126.6"/>
    <x v="114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x v="116"/>
    <x v="131"/>
    <n v="130.19999999999999"/>
    <n v="122.3"/>
    <x v="83"/>
    <x v="45"/>
    <x v="108"/>
    <n v="125.1"/>
    <n v="122.6"/>
    <n v="115.2"/>
    <n v="122"/>
    <n v="132.4"/>
    <n v="120.9"/>
    <n v="122.1"/>
    <x v="115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x v="117"/>
    <x v="132"/>
    <n v="136.6"/>
    <n v="130.19999999999999"/>
    <x v="110"/>
    <x v="45"/>
    <x v="109"/>
    <n v="129.4"/>
    <n v="127.1"/>
    <n v="117"/>
    <n v="124.2"/>
    <n v="133.30000000000001"/>
    <n v="121.7"/>
    <n v="124.4"/>
    <x v="96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x v="94"/>
    <x v="133"/>
    <n v="140.9"/>
    <n v="135.80000000000001"/>
    <x v="129"/>
    <x v="0"/>
    <x v="110"/>
    <n v="133.6"/>
    <n v="130.1"/>
    <n v="119.5"/>
    <n v="127.7"/>
    <n v="134.9"/>
    <n v="123.2"/>
    <n v="127"/>
    <x v="116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x v="85"/>
    <x v="134"/>
    <n v="130.5"/>
    <n v="122.5"/>
    <x v="130"/>
    <x v="46"/>
    <x v="62"/>
    <n v="125.3"/>
    <n v="122.9"/>
    <n v="115.5"/>
    <n v="122.2"/>
    <n v="132.4"/>
    <n v="121.7"/>
    <n v="122.4"/>
    <x v="117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x v="118"/>
    <x v="135"/>
    <n v="136.80000000000001"/>
    <n v="130.30000000000001"/>
    <x v="131"/>
    <x v="46"/>
    <x v="111"/>
    <n v="129.69999999999999"/>
    <n v="127.4"/>
    <n v="117.4"/>
    <n v="124.6"/>
    <n v="133.4"/>
    <n v="122.6"/>
    <n v="124.8"/>
    <x v="118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x v="119"/>
    <x v="136"/>
    <n v="141.6"/>
    <n v="136.19999999999999"/>
    <x v="132"/>
    <x v="0"/>
    <x v="112"/>
    <n v="134.1"/>
    <n v="130.6"/>
    <n v="119.8"/>
    <n v="128.30000000000001"/>
    <n v="135.19999999999999"/>
    <n v="123.3"/>
    <n v="127.4"/>
    <x v="111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x v="84"/>
    <x v="137"/>
    <n v="130.80000000000001"/>
    <n v="122.8"/>
    <x v="133"/>
    <x v="47"/>
    <x v="72"/>
    <n v="125.6"/>
    <n v="123.1"/>
    <n v="115.6"/>
    <n v="122.4"/>
    <n v="132.80000000000001"/>
    <n v="121.7"/>
    <n v="122.6"/>
    <x v="119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x v="117"/>
    <x v="138"/>
    <n v="137.30000000000001"/>
    <n v="130.6"/>
    <x v="134"/>
    <x v="47"/>
    <x v="94"/>
    <n v="130.1"/>
    <n v="127.8"/>
    <n v="117.6"/>
    <n v="125"/>
    <n v="133.80000000000001"/>
    <n v="122.6"/>
    <n v="125.1"/>
    <x v="105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x v="120"/>
    <x v="135"/>
    <n v="142.4"/>
    <n v="136.80000000000001"/>
    <x v="135"/>
    <x v="0"/>
    <x v="113"/>
    <n v="134.30000000000001"/>
    <n v="131"/>
    <n v="119.2"/>
    <n v="128.30000000000001"/>
    <n v="135.69999999999999"/>
    <n v="123.7"/>
    <n v="127.5"/>
    <x v="120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x v="119"/>
    <x v="139"/>
    <n v="131.19999999999999"/>
    <n v="123"/>
    <x v="136"/>
    <x v="48"/>
    <x v="114"/>
    <n v="126"/>
    <n v="123.4"/>
    <n v="114.3"/>
    <n v="122.6"/>
    <n v="133.6"/>
    <n v="122.2"/>
    <n v="122.5"/>
    <x v="121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x v="120"/>
    <x v="140"/>
    <n v="138"/>
    <n v="131.1"/>
    <x v="137"/>
    <x v="48"/>
    <x v="98"/>
    <n v="130.4"/>
    <n v="128.1"/>
    <n v="116.6"/>
    <n v="125.1"/>
    <n v="134.5"/>
    <n v="123.1"/>
    <n v="125.1"/>
    <x v="101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x v="121"/>
    <x v="141"/>
    <n v="142.5"/>
    <n v="137.30000000000001"/>
    <x v="138"/>
    <x v="0"/>
    <x v="113"/>
    <n v="134.9"/>
    <n v="131.4"/>
    <n v="119.4"/>
    <n v="129.4"/>
    <n v="136.30000000000001"/>
    <n v="123.7"/>
    <n v="127.9"/>
    <x v="122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x v="94"/>
    <x v="142"/>
    <n v="131.5"/>
    <n v="123.2"/>
    <x v="101"/>
    <x v="49"/>
    <x v="67"/>
    <n v="126.5"/>
    <n v="123.6"/>
    <n v="114.3"/>
    <n v="122.8"/>
    <n v="133.80000000000001"/>
    <n v="122"/>
    <n v="122.6"/>
    <x v="123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x v="115"/>
    <x v="143"/>
    <n v="138.19999999999999"/>
    <n v="131.4"/>
    <x v="139"/>
    <x v="49"/>
    <x v="115"/>
    <n v="130.9"/>
    <n v="128.4"/>
    <n v="116.7"/>
    <n v="125.7"/>
    <n v="134.80000000000001"/>
    <n v="123"/>
    <n v="125.3"/>
    <x v="107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x v="122"/>
    <x v="144"/>
    <n v="143.1"/>
    <n v="137.69999999999999"/>
    <x v="140"/>
    <x v="0"/>
    <x v="116"/>
    <n v="135.19999999999999"/>
    <n v="131.30000000000001"/>
    <n v="119.4"/>
    <n v="129.80000000000001"/>
    <n v="136.9"/>
    <n v="124.1"/>
    <n v="128.1"/>
    <x v="124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x v="106"/>
    <x v="145"/>
    <n v="131.5"/>
    <n v="123.2"/>
    <x v="101"/>
    <x v="50"/>
    <x v="117"/>
    <n v="126.8"/>
    <n v="123.8"/>
    <n v="113.9"/>
    <n v="122.9"/>
    <n v="134.30000000000001"/>
    <n v="122.5"/>
    <n v="122.7"/>
    <x v="125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x v="111"/>
    <x v="146"/>
    <n v="138.5"/>
    <n v="131.69999999999999"/>
    <x v="141"/>
    <x v="50"/>
    <x v="118"/>
    <n v="131.19999999999999"/>
    <n v="128.5"/>
    <n v="116.5"/>
    <n v="125.9"/>
    <n v="135.4"/>
    <n v="123.4"/>
    <n v="125.5"/>
    <x v="126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x v="123"/>
    <x v="147"/>
    <n v="144.30000000000001"/>
    <n v="138.1"/>
    <x v="142"/>
    <x v="0"/>
    <x v="119"/>
    <n v="136.1"/>
    <n v="132.1"/>
    <n v="119.1"/>
    <n v="130.6"/>
    <n v="138.6"/>
    <n v="124.4"/>
    <n v="128.6"/>
    <x v="127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x v="101"/>
    <x v="148"/>
    <n v="131.6"/>
    <n v="123.7"/>
    <x v="143"/>
    <x v="51"/>
    <x v="120"/>
    <n v="127.2"/>
    <n v="125"/>
    <n v="113.2"/>
    <n v="123.5"/>
    <n v="135.5"/>
    <n v="122.4"/>
    <n v="123"/>
    <x v="128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x v="124"/>
    <x v="149"/>
    <n v="139.30000000000001"/>
    <n v="132.1"/>
    <x v="144"/>
    <x v="51"/>
    <x v="115"/>
    <n v="131.9"/>
    <n v="129.4"/>
    <n v="116"/>
    <n v="126.6"/>
    <n v="136.80000000000001"/>
    <n v="123.6"/>
    <n v="125.9"/>
    <x v="129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x v="125"/>
    <x v="150"/>
    <n v="145.30000000000001"/>
    <n v="139.19999999999999"/>
    <x v="145"/>
    <x v="0"/>
    <x v="121"/>
    <n v="137.30000000000001"/>
    <n v="133"/>
    <n v="120.3"/>
    <n v="131.5"/>
    <n v="140.19999999999999"/>
    <n v="125.4"/>
    <n v="129.69999999999999"/>
    <x v="130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x v="126"/>
    <x v="151"/>
    <n v="132.69999999999999"/>
    <n v="124.3"/>
    <x v="109"/>
    <x v="52"/>
    <x v="122"/>
    <n v="127.7"/>
    <n v="125.7"/>
    <n v="114.6"/>
    <n v="124.1"/>
    <n v="135.69999999999999"/>
    <n v="123.3"/>
    <n v="123.8"/>
    <x v="131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x v="125"/>
    <x v="152"/>
    <n v="140.30000000000001"/>
    <n v="133"/>
    <x v="146"/>
    <x v="52"/>
    <x v="98"/>
    <n v="132.80000000000001"/>
    <n v="130.19999999999999"/>
    <n v="117.3"/>
    <n v="127.3"/>
    <n v="137.6"/>
    <n v="124.5"/>
    <n v="126.8"/>
    <x v="132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x v="127"/>
    <x v="152"/>
    <n v="146.1"/>
    <n v="139.69999999999999"/>
    <x v="147"/>
    <x v="0"/>
    <x v="123"/>
    <n v="137.9"/>
    <n v="133.4"/>
    <n v="121.2"/>
    <n v="132.30000000000001"/>
    <n v="139.6"/>
    <n v="126.7"/>
    <n v="130.30000000000001"/>
    <x v="133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x v="103"/>
    <x v="153"/>
    <n v="133.30000000000001"/>
    <n v="124.6"/>
    <x v="111"/>
    <x v="53"/>
    <x v="56"/>
    <n v="128.1"/>
    <n v="126.1"/>
    <n v="115.7"/>
    <n v="124.5"/>
    <n v="135.9"/>
    <n v="124.4"/>
    <n v="124.5"/>
    <x v="114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x v="124"/>
    <x v="154"/>
    <n v="141.1"/>
    <n v="133.4"/>
    <x v="128"/>
    <x v="53"/>
    <x v="124"/>
    <n v="133.30000000000001"/>
    <n v="130.6"/>
    <n v="118.3"/>
    <n v="127.9"/>
    <n v="137.4"/>
    <n v="125.7"/>
    <n v="127.5"/>
    <x v="134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x v="128"/>
    <x v="148"/>
    <n v="147.19999999999999"/>
    <n v="140.6"/>
    <x v="148"/>
    <x v="0"/>
    <x v="125"/>
    <n v="138.4"/>
    <n v="134.19999999999999"/>
    <n v="121"/>
    <n v="133"/>
    <n v="140.1"/>
    <n v="127.4"/>
    <n v="130.69999999999999"/>
    <x v="135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x v="129"/>
    <x v="155"/>
    <n v="134"/>
    <n v="124.9"/>
    <x v="96"/>
    <x v="54"/>
    <x v="63"/>
    <n v="128.30000000000001"/>
    <n v="126.6"/>
    <n v="115"/>
    <n v="124.8"/>
    <n v="136.30000000000001"/>
    <n v="124.6"/>
    <n v="124.5"/>
    <x v="102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x v="130"/>
    <x v="156"/>
    <n v="142"/>
    <n v="134.1"/>
    <x v="132"/>
    <x v="54"/>
    <x v="126"/>
    <n v="133.6"/>
    <n v="131.30000000000001"/>
    <n v="117.8"/>
    <n v="128.4"/>
    <n v="137.9"/>
    <n v="126.2"/>
    <n v="127.7"/>
    <x v="136"/>
  </r>
  <r>
    <x v="0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x v="131"/>
    <x v="151"/>
    <n v="148.19999999999999"/>
    <n v="141.5"/>
    <x v="149"/>
    <x v="0"/>
    <x v="127"/>
    <n v="139.4"/>
    <n v="135.80000000000001"/>
    <n v="121.6"/>
    <n v="133.69999999999999"/>
    <n v="141.5"/>
    <n v="128.1"/>
    <n v="131.69999999999999"/>
    <x v="137"/>
  </r>
  <r>
    <x v="1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x v="132"/>
    <x v="157"/>
    <n v="135"/>
    <n v="125.4"/>
    <x v="150"/>
    <x v="55"/>
    <x v="75"/>
    <n v="128.80000000000001"/>
    <n v="127.4"/>
    <n v="115.3"/>
    <n v="125.1"/>
    <n v="136.6"/>
    <n v="124.9"/>
    <n v="124.9"/>
    <x v="138"/>
  </r>
  <r>
    <x v="2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x v="133"/>
    <x v="158"/>
    <n v="143"/>
    <n v="134.80000000000001"/>
    <x v="138"/>
    <x v="55"/>
    <x v="119"/>
    <n v="134.4"/>
    <n v="132.6"/>
    <n v="118.3"/>
    <n v="128.9"/>
    <n v="138.6"/>
    <n v="126.8"/>
    <n v="128.4"/>
    <x v="133"/>
  </r>
  <r>
    <x v="0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x v="132"/>
    <x v="158"/>
    <n v="148"/>
    <n v="141.9"/>
    <x v="151"/>
    <x v="0"/>
    <x v="128"/>
    <n v="139.5"/>
    <n v="136.1"/>
    <n v="122"/>
    <n v="133.4"/>
    <n v="141.1"/>
    <n v="127.8"/>
    <n v="131.9"/>
    <x v="139"/>
  </r>
  <r>
    <x v="1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x v="134"/>
    <x v="159"/>
    <n v="135.6"/>
    <n v="125.6"/>
    <x v="152"/>
    <x v="56"/>
    <x v="109"/>
    <n v="129.30000000000001"/>
    <n v="128.19999999999999"/>
    <n v="115.3"/>
    <n v="125.6"/>
    <n v="136.69999999999999"/>
    <n v="124.6"/>
    <n v="125.1"/>
    <x v="140"/>
  </r>
  <r>
    <x v="2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x v="126"/>
    <x v="160"/>
    <n v="143.1"/>
    <n v="135.1"/>
    <x v="153"/>
    <x v="56"/>
    <x v="129"/>
    <n v="134.69999999999999"/>
    <n v="133.1"/>
    <n v="118.5"/>
    <n v="129"/>
    <n v="138.5"/>
    <n v="126.5"/>
    <n v="128.6"/>
    <x v="141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x v="128"/>
    <x v="153"/>
    <n v="148.30000000000001"/>
    <n v="142.30000000000001"/>
    <x v="154"/>
    <x v="0"/>
    <x v="130"/>
    <n v="139.80000000000001"/>
    <n v="136"/>
    <n v="122.7"/>
    <n v="134.30000000000001"/>
    <n v="141.6"/>
    <n v="128.6"/>
    <n v="132.30000000000001"/>
    <x v="142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x v="105"/>
    <x v="161"/>
    <n v="136"/>
    <n v="125.9"/>
    <x v="104"/>
    <x v="57"/>
    <x v="131"/>
    <n v="129.5"/>
    <n v="129"/>
    <n v="116.3"/>
    <n v="126.2"/>
    <n v="137.1"/>
    <n v="125.5"/>
    <n v="125.8"/>
    <x v="140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x v="135"/>
    <x v="162"/>
    <n v="143.5"/>
    <n v="135.5"/>
    <x v="140"/>
    <x v="57"/>
    <x v="129"/>
    <n v="134.9"/>
    <n v="133.30000000000001"/>
    <n v="119.3"/>
    <n v="129.69999999999999"/>
    <n v="139"/>
    <n v="127.3"/>
    <n v="129.1"/>
    <x v="143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x v="136"/>
    <x v="163"/>
    <n v="148.69999999999999"/>
    <n v="142.4"/>
    <x v="155"/>
    <x v="0"/>
    <x v="132"/>
    <n v="139.9"/>
    <n v="136.19999999999999"/>
    <n v="123.3"/>
    <n v="134.30000000000001"/>
    <n v="141.5"/>
    <n v="128.80000000000001"/>
    <n v="132.5"/>
    <x v="144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x v="137"/>
    <x v="164"/>
    <n v="136.30000000000001"/>
    <n v="126.1"/>
    <x v="156"/>
    <x v="58"/>
    <x v="131"/>
    <n v="129.9"/>
    <n v="129.80000000000001"/>
    <n v="117.4"/>
    <n v="126.5"/>
    <n v="137.19999999999999"/>
    <n v="126.2"/>
    <n v="126.5"/>
    <x v="145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x v="100"/>
    <x v="165"/>
    <n v="143.80000000000001"/>
    <n v="135.6"/>
    <x v="157"/>
    <x v="58"/>
    <x v="133"/>
    <n v="135.19999999999999"/>
    <n v="133.80000000000001"/>
    <n v="120.2"/>
    <n v="129.9"/>
    <n v="139"/>
    <n v="127.7"/>
    <n v="129.6"/>
    <x v="146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x v="138"/>
    <x v="166"/>
    <n v="149.19999999999999"/>
    <n v="143"/>
    <x v="158"/>
    <x v="0"/>
    <x v="128"/>
    <n v="139.9"/>
    <n v="136.69999999999999"/>
    <n v="124.6"/>
    <n v="135.1"/>
    <n v="142.69999999999999"/>
    <n v="129.30000000000001"/>
    <n v="133.30000000000001"/>
    <x v="147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x v="139"/>
    <x v="167"/>
    <n v="136.69999999999999"/>
    <n v="126.7"/>
    <x v="159"/>
    <x v="59"/>
    <x v="134"/>
    <n v="130.80000000000001"/>
    <n v="130.5"/>
    <n v="117.8"/>
    <n v="126.8"/>
    <n v="137.80000000000001"/>
    <n v="126.7"/>
    <n v="127.1"/>
    <x v="145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x v="105"/>
    <x v="168"/>
    <n v="144.30000000000001"/>
    <n v="136.19999999999999"/>
    <x v="160"/>
    <x v="59"/>
    <x v="135"/>
    <n v="135.6"/>
    <n v="134.30000000000001"/>
    <n v="121"/>
    <n v="130.4"/>
    <n v="139.80000000000001"/>
    <n v="128.19999999999999"/>
    <n v="130.30000000000001"/>
    <x v="148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x v="138"/>
    <x v="169"/>
    <n v="150.1"/>
    <n v="143.30000000000001"/>
    <x v="161"/>
    <x v="0"/>
    <x v="136"/>
    <n v="140.9"/>
    <n v="137.6"/>
    <n v="125.3"/>
    <n v="136"/>
    <n v="143.69999999999999"/>
    <n v="130.4"/>
    <n v="134.19999999999999"/>
    <x v="149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x v="106"/>
    <x v="170"/>
    <n v="137.80000000000001"/>
    <n v="127.4"/>
    <x v="162"/>
    <x v="60"/>
    <x v="137"/>
    <n v="131.80000000000001"/>
    <n v="131.30000000000001"/>
    <n v="118.9"/>
    <n v="127.6"/>
    <n v="139.69999999999999"/>
    <n v="127.6"/>
    <n v="128.19999999999999"/>
    <x v="138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x v="140"/>
    <x v="171"/>
    <n v="145.30000000000001"/>
    <n v="136.69999999999999"/>
    <x v="163"/>
    <x v="60"/>
    <x v="135"/>
    <n v="136.6"/>
    <n v="135.19999999999999"/>
    <n v="121.9"/>
    <n v="131.30000000000001"/>
    <n v="141.4"/>
    <n v="129.19999999999999"/>
    <n v="131.30000000000001"/>
    <x v="150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x v="141"/>
    <x v="159"/>
    <n v="150.80000000000001"/>
    <n v="144.1"/>
    <x v="164"/>
    <x v="0"/>
    <x v="138"/>
    <n v="141.80000000000001"/>
    <n v="138.4"/>
    <n v="126.4"/>
    <n v="136.80000000000001"/>
    <n v="144.4"/>
    <n v="131.19999999999999"/>
    <n v="135.1"/>
    <x v="139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x v="142"/>
    <x v="172"/>
    <n v="138.6"/>
    <n v="127.9"/>
    <x v="137"/>
    <x v="61"/>
    <x v="139"/>
    <n v="132.5"/>
    <n v="132"/>
    <n v="119.8"/>
    <n v="128"/>
    <n v="140.4"/>
    <n v="128.1"/>
    <n v="128.9"/>
    <x v="132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x v="143"/>
    <x v="173"/>
    <n v="146"/>
    <n v="137.4"/>
    <x v="165"/>
    <x v="61"/>
    <x v="140"/>
    <n v="137.4"/>
    <n v="136"/>
    <n v="122.9"/>
    <n v="131.80000000000001"/>
    <n v="142.1"/>
    <n v="129.9"/>
    <n v="132.1"/>
    <x v="130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x v="144"/>
    <x v="174"/>
    <n v="151.30000000000001"/>
    <n v="144.69999999999999"/>
    <x v="166"/>
    <x v="0"/>
    <x v="141"/>
    <n v="142.19999999999999"/>
    <n v="138.4"/>
    <n v="127.4"/>
    <n v="137.80000000000001"/>
    <n v="145.1"/>
    <n v="131.4"/>
    <n v="135.6"/>
    <x v="151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x v="102"/>
    <x v="175"/>
    <n v="138.9"/>
    <n v="128.69999999999999"/>
    <x v="167"/>
    <x v="62"/>
    <x v="142"/>
    <n v="133.1"/>
    <n v="132.6"/>
    <n v="120.4"/>
    <n v="128.5"/>
    <n v="141.19999999999999"/>
    <n v="128.19999999999999"/>
    <n v="129.5"/>
    <x v="127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x v="145"/>
    <x v="176"/>
    <n v="146.4"/>
    <n v="138.1"/>
    <x v="147"/>
    <x v="62"/>
    <x v="125"/>
    <n v="137.9"/>
    <n v="136.19999999999999"/>
    <n v="123.7"/>
    <n v="132.6"/>
    <n v="142.80000000000001"/>
    <n v="130.1"/>
    <n v="132.6"/>
    <x v="144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x v="146"/>
    <x v="169"/>
    <n v="151.5"/>
    <n v="145.1"/>
    <x v="168"/>
    <x v="0"/>
    <x v="143"/>
    <n v="143.1"/>
    <n v="139"/>
    <n v="127.5"/>
    <n v="138.4"/>
    <n v="145.80000000000001"/>
    <n v="131.4"/>
    <n v="136"/>
    <x v="152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x v="147"/>
    <x v="177"/>
    <n v="139.6"/>
    <n v="128.9"/>
    <x v="169"/>
    <x v="63"/>
    <x v="144"/>
    <n v="133.6"/>
    <n v="133.6"/>
    <n v="120.1"/>
    <n v="129"/>
    <n v="144"/>
    <n v="128.19999999999999"/>
    <n v="130.19999999999999"/>
    <x v="153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x v="148"/>
    <x v="178"/>
    <n v="146.80000000000001"/>
    <n v="138.4"/>
    <x v="170"/>
    <x v="63"/>
    <x v="145"/>
    <n v="138.6"/>
    <n v="137"/>
    <n v="123.6"/>
    <n v="133.1"/>
    <n v="144.69999999999999"/>
    <n v="130.1"/>
    <n v="133.19999999999999"/>
    <x v="139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x v="149"/>
    <x v="179"/>
    <n v="152.1"/>
    <n v="145.80000000000001"/>
    <x v="171"/>
    <x v="0"/>
    <x v="146"/>
    <n v="143.80000000000001"/>
    <n v="139.4"/>
    <n v="128.30000000000001"/>
    <n v="138.6"/>
    <n v="146.9"/>
    <n v="131.30000000000001"/>
    <n v="136.6"/>
    <x v="154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x v="130"/>
    <x v="180"/>
    <n v="140"/>
    <n v="129"/>
    <x v="144"/>
    <x v="64"/>
    <x v="98"/>
    <n v="134.4"/>
    <n v="134.9"/>
    <n v="120.7"/>
    <n v="129.80000000000001"/>
    <n v="145.30000000000001"/>
    <n v="128.30000000000001"/>
    <n v="131"/>
    <x v="155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x v="150"/>
    <x v="173"/>
    <n v="147.30000000000001"/>
    <n v="138.80000000000001"/>
    <x v="172"/>
    <x v="64"/>
    <x v="147"/>
    <n v="139.4"/>
    <n v="137.69999999999999"/>
    <n v="124.3"/>
    <n v="133.6"/>
    <n v="146"/>
    <n v="130.1"/>
    <n v="133.9"/>
    <x v="156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x v="151"/>
    <x v="161"/>
    <n v="152.1"/>
    <n v="146.1"/>
    <x v="171"/>
    <x v="0"/>
    <x v="148"/>
    <n v="144"/>
    <n v="140"/>
    <n v="129.9"/>
    <n v="140"/>
    <n v="147.6"/>
    <n v="132"/>
    <n v="137.4"/>
    <x v="157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x v="152"/>
    <x v="181"/>
    <n v="140.80000000000001"/>
    <n v="129.30000000000001"/>
    <x v="173"/>
    <x v="65"/>
    <x v="149"/>
    <n v="134.9"/>
    <n v="135.69999999999999"/>
    <n v="122.5"/>
    <n v="130.19999999999999"/>
    <n v="145.19999999999999"/>
    <n v="129.30000000000001"/>
    <n v="131.9"/>
    <x v="158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x v="128"/>
    <x v="170"/>
    <n v="147.69999999999999"/>
    <n v="139.1"/>
    <x v="174"/>
    <x v="65"/>
    <x v="130"/>
    <n v="139.69999999999999"/>
    <n v="138.4"/>
    <n v="126"/>
    <n v="134.5"/>
    <n v="146.19999999999999"/>
    <n v="130.9"/>
    <n v="134.69999999999999"/>
    <x v="159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x v="153"/>
    <x v="182"/>
    <n v="150.69999999999999"/>
    <n v="144.5"/>
    <x v="164"/>
    <x v="0"/>
    <x v="150"/>
    <n v="147.5"/>
    <n v="144.80000000000001"/>
    <n v="130.80000000000001"/>
    <n v="140.1"/>
    <n v="148"/>
    <n v="134.4"/>
    <n v="139.80000000000001"/>
    <x v="160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x v="145"/>
    <x v="183"/>
    <n v="141.5"/>
    <n v="129.80000000000001"/>
    <x v="125"/>
    <x v="66"/>
    <x v="151"/>
    <n v="135.1"/>
    <n v="136.19999999999999"/>
    <n v="123.3"/>
    <n v="130.69999999999999"/>
    <n v="145.5"/>
    <n v="130.4"/>
    <n v="132.5"/>
    <x v="161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x v="129"/>
    <x v="184"/>
    <n v="148"/>
    <n v="139.19999999999999"/>
    <x v="175"/>
    <x v="67"/>
    <x v="152"/>
    <n v="142.19999999999999"/>
    <n v="142.1"/>
    <n v="125.5"/>
    <n v="136.5"/>
    <n v="147.80000000000001"/>
    <n v="132"/>
    <n v="136.30000000000001"/>
    <x v="162"/>
  </r>
  <r>
    <x v="0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x v="144"/>
    <x v="185"/>
    <n v="151.69999999999999"/>
    <n v="145.5"/>
    <x v="176"/>
    <x v="0"/>
    <x v="153"/>
    <n v="148"/>
    <n v="145.4"/>
    <n v="130.30000000000001"/>
    <n v="143.1"/>
    <n v="150.19999999999999"/>
    <n v="133.1"/>
    <n v="140.1"/>
    <x v="163"/>
  </r>
  <r>
    <x v="1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x v="141"/>
    <x v="186"/>
    <n v="142.4"/>
    <n v="130.19999999999999"/>
    <x v="177"/>
    <x v="67"/>
    <x v="133"/>
    <n v="135.80000000000001"/>
    <n v="136.80000000000001"/>
    <n v="121.2"/>
    <n v="131.30000000000001"/>
    <n v="146.1"/>
    <n v="130.5"/>
    <n v="132.19999999999999"/>
    <x v="164"/>
  </r>
  <r>
    <x v="2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x v="129"/>
    <x v="184"/>
    <n v="148"/>
    <n v="139.1"/>
    <x v="178"/>
    <x v="67"/>
    <x v="141"/>
    <n v="142.19999999999999"/>
    <n v="142.1"/>
    <n v="125.5"/>
    <n v="136.5"/>
    <n v="147.80000000000001"/>
    <n v="132"/>
    <n v="136.30000000000001"/>
    <x v="162"/>
  </r>
  <r>
    <x v="0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x v="123"/>
    <x v="187"/>
    <n v="151.6"/>
    <n v="145.9"/>
    <x v="176"/>
    <x v="0"/>
    <x v="148"/>
    <n v="149.5"/>
    <n v="149.6"/>
    <n v="128.9"/>
    <n v="143.30000000000001"/>
    <n v="155.1"/>
    <n v="133.19999999999999"/>
    <n v="141.6"/>
    <x v="165"/>
  </r>
  <r>
    <x v="1"/>
    <x v="5"/>
    <x v="11"/>
    <n v="138.5"/>
    <n v="147.80000000000001"/>
    <n v="141.1"/>
    <n v="141.6"/>
    <n v="118.1"/>
    <n v="138.5"/>
    <n v="132.4"/>
    <n v="117.5"/>
    <n v="111"/>
    <n v="141.5"/>
    <n v="128.1"/>
    <n v="152.9"/>
    <x v="100"/>
    <x v="188"/>
    <n v="142.69999999999999"/>
    <n v="130.30000000000001"/>
    <x v="132"/>
    <x v="68"/>
    <x v="154"/>
    <n v="136.19999999999999"/>
    <n v="137.30000000000001"/>
    <n v="118.8"/>
    <n v="131.69999999999999"/>
    <n v="146.5"/>
    <n v="130.80000000000001"/>
    <n v="131.69999999999999"/>
    <x v="155"/>
  </r>
  <r>
    <x v="2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x v="98"/>
    <x v="189"/>
    <n v="148.1"/>
    <n v="139.4"/>
    <x v="175"/>
    <x v="68"/>
    <x v="155"/>
    <n v="143.19999999999999"/>
    <n v="144.9"/>
    <n v="123.6"/>
    <n v="136.80000000000001"/>
    <n v="150.1"/>
    <n v="132.19999999999999"/>
    <n v="136.80000000000001"/>
    <x v="166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x v="108"/>
    <x v="190"/>
    <n v="150.6"/>
    <n v="145.1"/>
    <x v="179"/>
    <x v="0"/>
    <x v="156"/>
    <n v="150.1"/>
    <n v="149.6"/>
    <n v="128.6"/>
    <n v="142.9"/>
    <n v="155.19999999999999"/>
    <n v="133.5"/>
    <n v="141.69999999999999"/>
    <x v="167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x v="154"/>
    <x v="191"/>
    <n v="143"/>
    <n v="130.4"/>
    <x v="180"/>
    <x v="69"/>
    <x v="157"/>
    <n v="136.30000000000001"/>
    <n v="137.80000000000001"/>
    <n v="118.6"/>
    <n v="131.9"/>
    <n v="146.6"/>
    <n v="131.69999999999999"/>
    <n v="131.80000000000001"/>
    <x v="155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x v="108"/>
    <x v="192"/>
    <n v="147.6"/>
    <n v="139"/>
    <x v="181"/>
    <x v="69"/>
    <x v="158"/>
    <n v="143.6"/>
    <n v="145.1"/>
    <n v="123.3"/>
    <n v="136.69999999999999"/>
    <n v="150.19999999999999"/>
    <n v="132.80000000000001"/>
    <n v="136.9"/>
    <x v="168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x v="105"/>
    <x v="193"/>
    <n v="150.5"/>
    <n v="146.1"/>
    <x v="179"/>
    <x v="0"/>
    <x v="152"/>
    <n v="150.1"/>
    <n v="149.9"/>
    <n v="129.19999999999999"/>
    <n v="143.4"/>
    <n v="155.5"/>
    <n v="134.9"/>
    <n v="142.19999999999999"/>
    <x v="167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x v="103"/>
    <x v="194"/>
    <n v="143.30000000000001"/>
    <n v="130.80000000000001"/>
    <x v="182"/>
    <x v="70"/>
    <x v="159"/>
    <n v="136.6"/>
    <n v="138.5"/>
    <n v="119.2"/>
    <n v="132.19999999999999"/>
    <n v="146.6"/>
    <n v="133"/>
    <n v="132.4"/>
    <x v="169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x v="140"/>
    <x v="195"/>
    <n v="147.69999999999999"/>
    <n v="139.69999999999999"/>
    <x v="174"/>
    <x v="70"/>
    <x v="160"/>
    <n v="143.69999999999999"/>
    <n v="145.6"/>
    <n v="123.9"/>
    <n v="137.1"/>
    <n v="150.30000000000001"/>
    <n v="134.1"/>
    <n v="137.4"/>
    <x v="170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x v="154"/>
    <x v="196"/>
    <n v="150.80000000000001"/>
    <n v="146.1"/>
    <x v="183"/>
    <x v="0"/>
    <x v="161"/>
    <n v="150"/>
    <n v="150.4"/>
    <n v="129.9"/>
    <n v="143.80000000000001"/>
    <n v="155.5"/>
    <n v="134"/>
    <n v="142.4"/>
    <x v="171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x v="127"/>
    <x v="197"/>
    <n v="143.5"/>
    <n v="131.19999999999999"/>
    <x v="135"/>
    <x v="71"/>
    <x v="118"/>
    <n v="136.80000000000001"/>
    <n v="139.19999999999999"/>
    <n v="119.9"/>
    <n v="133"/>
    <n v="146.69999999999999"/>
    <n v="132.5"/>
    <n v="132.80000000000001"/>
    <x v="172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x v="143"/>
    <x v="198"/>
    <n v="147.9"/>
    <n v="139.9"/>
    <x v="178"/>
    <x v="71"/>
    <x v="145"/>
    <n v="143.80000000000001"/>
    <n v="146.19999999999999"/>
    <n v="124.6"/>
    <n v="137.69999999999999"/>
    <n v="150.30000000000001"/>
    <n v="133.4"/>
    <n v="137.69999999999999"/>
    <x v="156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x v="135"/>
    <x v="181"/>
    <n v="151.30000000000001"/>
    <n v="146.6"/>
    <x v="184"/>
    <x v="0"/>
    <x v="162"/>
    <n v="149.5"/>
    <n v="151.30000000000001"/>
    <n v="130.19999999999999"/>
    <n v="145.9"/>
    <n v="156.69999999999999"/>
    <n v="133.9"/>
    <n v="142.9"/>
    <x v="163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x v="155"/>
    <x v="199"/>
    <n v="144"/>
    <n v="131.69999999999999"/>
    <x v="185"/>
    <x v="72"/>
    <x v="115"/>
    <n v="137.19999999999999"/>
    <n v="139.80000000000001"/>
    <n v="120.1"/>
    <n v="134"/>
    <n v="148"/>
    <n v="132.6"/>
    <n v="133.30000000000001"/>
    <x v="173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x v="156"/>
    <x v="200"/>
    <n v="148.4"/>
    <n v="140.4"/>
    <x v="149"/>
    <x v="72"/>
    <x v="163"/>
    <n v="143.69999999999999"/>
    <n v="146.9"/>
    <n v="124.9"/>
    <n v="139.19999999999999"/>
    <n v="151.6"/>
    <n v="133.4"/>
    <n v="138.19999999999999"/>
    <x v="174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x v="157"/>
    <x v="201"/>
    <n v="151.4"/>
    <n v="146.5"/>
    <x v="184"/>
    <x v="0"/>
    <x v="164"/>
    <n v="149.6"/>
    <n v="151.69999999999999"/>
    <n v="130.19999999999999"/>
    <n v="146.4"/>
    <n v="157.69999999999999"/>
    <n v="134.80000000000001"/>
    <n v="143.30000000000001"/>
    <x v="175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x v="158"/>
    <x v="202"/>
    <n v="144.30000000000001"/>
    <n v="131.69999999999999"/>
    <x v="186"/>
    <x v="73"/>
    <x v="165"/>
    <n v="137.4"/>
    <n v="140.30000000000001"/>
    <n v="119.6"/>
    <n v="134.30000000000001"/>
    <n v="148.9"/>
    <n v="133.69999999999999"/>
    <n v="133.6"/>
    <x v="157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x v="149"/>
    <x v="194"/>
    <n v="148.6"/>
    <n v="140.4"/>
    <x v="187"/>
    <x v="73"/>
    <x v="166"/>
    <n v="143.80000000000001"/>
    <n v="147.4"/>
    <n v="124.6"/>
    <n v="139.6"/>
    <n v="152.5"/>
    <n v="134.30000000000001"/>
    <n v="138.6"/>
    <x v="176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x v="159"/>
    <x v="203"/>
    <n v="151.6"/>
    <n v="146.6"/>
    <x v="188"/>
    <x v="0"/>
    <x v="143"/>
    <n v="150"/>
    <n v="152.19999999999999"/>
    <n v="131.19999999999999"/>
    <n v="147.5"/>
    <n v="159.1"/>
    <n v="136.1"/>
    <n v="144.19999999999999"/>
    <x v="177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x v="160"/>
    <x v="204"/>
    <n v="144.69999999999999"/>
    <n v="131.9"/>
    <x v="189"/>
    <x v="74"/>
    <x v="83"/>
    <n v="137.69999999999999"/>
    <n v="140.80000000000001"/>
    <n v="120.6"/>
    <n v="135"/>
    <n v="150.4"/>
    <n v="135.1"/>
    <n v="134.5"/>
    <x v="178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x v="161"/>
    <x v="205"/>
    <n v="148.9"/>
    <n v="140.5"/>
    <x v="190"/>
    <x v="74"/>
    <x v="167"/>
    <n v="144.19999999999999"/>
    <n v="147.9"/>
    <n v="125.6"/>
    <n v="140.5"/>
    <n v="154"/>
    <n v="135.69999999999999"/>
    <n v="139.5"/>
    <x v="179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x v="162"/>
    <x v="206"/>
    <n v="151.80000000000001"/>
    <n v="146.6"/>
    <x v="191"/>
    <x v="0"/>
    <x v="161"/>
    <n v="150.19999999999999"/>
    <n v="152.69999999999999"/>
    <n v="131.4"/>
    <n v="148"/>
    <n v="159.69999999999999"/>
    <n v="138.80000000000001"/>
    <n v="144.9"/>
    <x v="180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x v="163"/>
    <x v="207"/>
    <n v="145"/>
    <n v="132.19999999999999"/>
    <x v="192"/>
    <x v="75"/>
    <x v="168"/>
    <n v="138.1"/>
    <n v="141.5"/>
    <n v="120.8"/>
    <n v="135.4"/>
    <n v="151.5"/>
    <n v="137.80000000000001"/>
    <n v="135.30000000000001"/>
    <x v="179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x v="164"/>
    <x v="208"/>
    <n v="149.1"/>
    <n v="140.6"/>
    <x v="193"/>
    <x v="75"/>
    <x v="169"/>
    <n v="144.5"/>
    <n v="148.5"/>
    <n v="125.8"/>
    <n v="140.9"/>
    <n v="154.9"/>
    <n v="138.4"/>
    <n v="140.19999999999999"/>
    <x v="181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x v="165"/>
    <x v="209"/>
    <n v="151.69999999999999"/>
    <n v="146.6"/>
    <x v="194"/>
    <x v="0"/>
    <x v="162"/>
    <n v="150.30000000000001"/>
    <n v="153.4"/>
    <n v="131.6"/>
    <n v="148.30000000000001"/>
    <n v="160.19999999999999"/>
    <n v="140.19999999999999"/>
    <n v="145.4"/>
    <x v="182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x v="166"/>
    <x v="210"/>
    <n v="145.30000000000001"/>
    <n v="132.19999999999999"/>
    <x v="195"/>
    <x v="76"/>
    <x v="106"/>
    <n v="138.30000000000001"/>
    <n v="141.9"/>
    <n v="121.2"/>
    <n v="135.9"/>
    <n v="151.6"/>
    <n v="139"/>
    <n v="135.69999999999999"/>
    <x v="183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x v="167"/>
    <x v="211"/>
    <n v="149.19999999999999"/>
    <n v="140.6"/>
    <x v="193"/>
    <x v="76"/>
    <x v="170"/>
    <n v="144.6"/>
    <n v="149"/>
    <n v="126.1"/>
    <n v="141.30000000000001"/>
    <n v="155.19999999999999"/>
    <n v="139.69999999999999"/>
    <n v="140.69999999999999"/>
    <x v="184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x v="168"/>
    <x v="212"/>
    <n v="151.69999999999999"/>
    <n v="146.69999999999999"/>
    <x v="194"/>
    <x v="0"/>
    <x v="146"/>
    <n v="150.6"/>
    <n v="153.69999999999999"/>
    <n v="131.69999999999999"/>
    <n v="148.69999999999999"/>
    <n v="160.69999999999999"/>
    <n v="140.30000000000001"/>
    <n v="145.69999999999999"/>
    <x v="185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x v="169"/>
    <x v="213"/>
    <n v="145.9"/>
    <n v="132.4"/>
    <x v="196"/>
    <x v="77"/>
    <x v="171"/>
    <n v="138.69999999999999"/>
    <n v="142.4"/>
    <n v="121.5"/>
    <n v="136.19999999999999"/>
    <n v="151.69999999999999"/>
    <n v="139.5"/>
    <n v="136"/>
    <x v="186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x v="170"/>
    <x v="214"/>
    <n v="149.4"/>
    <n v="140.80000000000001"/>
    <x v="197"/>
    <x v="77"/>
    <x v="172"/>
    <n v="145"/>
    <n v="149.4"/>
    <n v="126.3"/>
    <n v="141.69999999999999"/>
    <n v="155.4"/>
    <n v="140"/>
    <n v="141"/>
    <x v="187"/>
  </r>
  <r>
    <x v="0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x v="171"/>
    <x v="204"/>
    <n v="152.30000000000001"/>
    <n v="147"/>
    <x v="198"/>
    <x v="0"/>
    <x v="173"/>
    <n v="150.9"/>
    <n v="154.30000000000001"/>
    <n v="132.1"/>
    <n v="149.1"/>
    <n v="160.80000000000001"/>
    <n v="140.6"/>
    <n v="146.1"/>
    <x v="188"/>
  </r>
  <r>
    <x v="1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x v="172"/>
    <x v="215"/>
    <n v="146.30000000000001"/>
    <n v="132.6"/>
    <x v="199"/>
    <x v="78"/>
    <x v="126"/>
    <n v="139.1"/>
    <n v="142.80000000000001"/>
    <n v="121.7"/>
    <n v="136.69999999999999"/>
    <n v="151.80000000000001"/>
    <n v="139.80000000000001"/>
    <n v="136.30000000000001"/>
    <x v="189"/>
  </r>
  <r>
    <x v="2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x v="169"/>
    <x v="207"/>
    <n v="149.9"/>
    <n v="141"/>
    <x v="200"/>
    <x v="78"/>
    <x v="130"/>
    <n v="145.30000000000001"/>
    <n v="149.9"/>
    <n v="126.6"/>
    <n v="142.1"/>
    <n v="155.5"/>
    <n v="140.30000000000001"/>
    <n v="141.30000000000001"/>
    <x v="190"/>
  </r>
  <r>
    <x v="0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x v="173"/>
    <x v="216"/>
    <n v="152.6"/>
    <n v="147.30000000000001"/>
    <x v="201"/>
    <x v="0"/>
    <x v="174"/>
    <n v="151.19999999999999"/>
    <n v="154.80000000000001"/>
    <n v="135"/>
    <n v="149.5"/>
    <n v="161.1"/>
    <n v="140.6"/>
    <n v="147.1"/>
    <x v="191"/>
  </r>
  <r>
    <x v="1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x v="174"/>
    <x v="217"/>
    <n v="146.80000000000001"/>
    <n v="132.80000000000001"/>
    <x v="202"/>
    <x v="79"/>
    <x v="175"/>
    <n v="139.80000000000001"/>
    <n v="143.19999999999999"/>
    <n v="125.2"/>
    <n v="136.80000000000001"/>
    <n v="151.9"/>
    <n v="140.19999999999999"/>
    <n v="137.69999999999999"/>
    <x v="185"/>
  </r>
  <r>
    <x v="2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x v="175"/>
    <x v="218"/>
    <n v="150.30000000000001"/>
    <n v="141.30000000000001"/>
    <x v="203"/>
    <x v="79"/>
    <x v="176"/>
    <n v="145.80000000000001"/>
    <n v="150.4"/>
    <n v="129.80000000000001"/>
    <n v="142.30000000000001"/>
    <n v="155.69999999999999"/>
    <n v="140.4"/>
    <n v="142.5"/>
    <x v="192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x v="176"/>
    <x v="210"/>
    <n v="152.80000000000001"/>
    <n v="147.4"/>
    <x v="204"/>
    <x v="0"/>
    <x v="177"/>
    <n v="151.69999999999999"/>
    <n v="155.69999999999999"/>
    <n v="136.30000000000001"/>
    <n v="150.1"/>
    <n v="161.69999999999999"/>
    <n v="142.5"/>
    <n v="148.1"/>
    <x v="193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x v="177"/>
    <x v="219"/>
    <n v="147"/>
    <n v="133.19999999999999"/>
    <x v="205"/>
    <x v="80"/>
    <x v="178"/>
    <n v="140.1"/>
    <n v="143.80000000000001"/>
    <n v="126.1"/>
    <n v="137.19999999999999"/>
    <n v="152.1"/>
    <n v="142.1"/>
    <n v="138.4"/>
    <x v="194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x v="178"/>
    <x v="220"/>
    <n v="150.5"/>
    <n v="141.5"/>
    <x v="206"/>
    <x v="80"/>
    <x v="179"/>
    <n v="146.19999999999999"/>
    <n v="151.19999999999999"/>
    <n v="130.9"/>
    <n v="142.80000000000001"/>
    <n v="156.1"/>
    <n v="142.30000000000001"/>
    <n v="143.4"/>
    <x v="195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x v="179"/>
    <x v="221"/>
    <n v="153"/>
    <n v="147.5"/>
    <x v="207"/>
    <x v="0"/>
    <x v="180"/>
    <n v="151.80000000000001"/>
    <n v="156.19999999999999"/>
    <n v="136"/>
    <n v="150.4"/>
    <n v="161.9"/>
    <n v="143.4"/>
    <n v="148.4"/>
    <x v="192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x v="180"/>
    <x v="222"/>
    <n v="147.30000000000001"/>
    <n v="133.5"/>
    <x v="147"/>
    <x v="81"/>
    <x v="181"/>
    <n v="140.4"/>
    <n v="144.4"/>
    <n v="125.2"/>
    <n v="137.69999999999999"/>
    <n v="152.19999999999999"/>
    <n v="143.5"/>
    <n v="138.4"/>
    <x v="196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x v="181"/>
    <x v="223"/>
    <n v="150.80000000000001"/>
    <n v="141.69999999999999"/>
    <x v="208"/>
    <x v="81"/>
    <x v="182"/>
    <n v="146.4"/>
    <n v="151.69999999999999"/>
    <n v="130.30000000000001"/>
    <n v="143.19999999999999"/>
    <n v="156.19999999999999"/>
    <n v="143.4"/>
    <n v="143.6"/>
    <x v="197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x v="182"/>
    <x v="224"/>
    <n v="153.4"/>
    <n v="147.6"/>
    <x v="209"/>
    <x v="0"/>
    <x v="183"/>
    <n v="151.5"/>
    <n v="156.69999999999999"/>
    <n v="135.80000000000001"/>
    <n v="151.19999999999999"/>
    <n v="161.19999999999999"/>
    <n v="145.1"/>
    <n v="148.6"/>
    <x v="198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x v="183"/>
    <x v="225"/>
    <n v="147.69999999999999"/>
    <n v="133.80000000000001"/>
    <x v="170"/>
    <x v="82"/>
    <x v="184"/>
    <n v="140.80000000000001"/>
    <n v="145"/>
    <n v="124.6"/>
    <n v="137.9"/>
    <n v="152.5"/>
    <n v="145.30000000000001"/>
    <n v="138.69999999999999"/>
    <x v="199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x v="184"/>
    <x v="226"/>
    <n v="151.19999999999999"/>
    <n v="141.9"/>
    <x v="164"/>
    <x v="82"/>
    <x v="185"/>
    <n v="146.4"/>
    <n v="152.30000000000001"/>
    <n v="129.9"/>
    <n v="143.69999999999999"/>
    <n v="156.1"/>
    <n v="145.19999999999999"/>
    <n v="143.80000000000001"/>
    <x v="190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x v="185"/>
    <x v="227"/>
    <n v="154.69999999999999"/>
    <n v="150"/>
    <x v="210"/>
    <x v="0"/>
    <x v="186"/>
    <n v="151.69999999999999"/>
    <n v="158.19999999999999"/>
    <n v="141.4"/>
    <n v="153.19999999999999"/>
    <n v="161.80000000000001"/>
    <n v="151.19999999999999"/>
    <n v="151.69999999999999"/>
    <x v="200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x v="186"/>
    <x v="228"/>
    <n v="149.1"/>
    <n v="136.6"/>
    <x v="151"/>
    <x v="83"/>
    <x v="187"/>
    <n v="140.4"/>
    <n v="148.1"/>
    <n v="129.30000000000001"/>
    <n v="144.5"/>
    <n v="152.5"/>
    <n v="152.19999999999999"/>
    <n v="142"/>
    <x v="201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x v="187"/>
    <x v="229"/>
    <n v="152.5"/>
    <n v="144.4"/>
    <x v="211"/>
    <x v="83"/>
    <x v="188"/>
    <n v="146.4"/>
    <n v="154.4"/>
    <n v="135"/>
    <n v="148.30000000000001"/>
    <n v="156.4"/>
    <n v="151.6"/>
    <n v="147"/>
    <x v="202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x v="185"/>
    <x v="227"/>
    <n v="154.69999999999999"/>
    <n v="150"/>
    <x v="210"/>
    <x v="0"/>
    <x v="186"/>
    <n v="151.69999999999999"/>
    <n v="158.19999999999999"/>
    <n v="141.4"/>
    <n v="153.19999999999999"/>
    <n v="161.80000000000001"/>
    <n v="151.19999999999999"/>
    <n v="151.69999999999999"/>
    <x v="200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x v="186"/>
    <x v="228"/>
    <n v="149.1"/>
    <n v="136.6"/>
    <x v="151"/>
    <x v="83"/>
    <x v="187"/>
    <n v="140.4"/>
    <n v="148.1"/>
    <n v="129.30000000000001"/>
    <n v="144.5"/>
    <n v="152.5"/>
    <n v="152.19999999999999"/>
    <n v="142"/>
    <x v="201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x v="187"/>
    <x v="229"/>
    <n v="152.5"/>
    <n v="144.4"/>
    <x v="211"/>
    <x v="83"/>
    <x v="188"/>
    <n v="146.4"/>
    <n v="154.4"/>
    <n v="135"/>
    <n v="148.30000000000001"/>
    <n v="156.4"/>
    <n v="151.6"/>
    <n v="147"/>
    <x v="202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x v="188"/>
    <x v="230"/>
    <n v="155.1"/>
    <n v="149.30000000000001"/>
    <x v="212"/>
    <x v="0"/>
    <x v="189"/>
    <n v="151.9"/>
    <n v="158.80000000000001"/>
    <n v="143.6"/>
    <n v="152.19999999999999"/>
    <n v="162.69999999999999"/>
    <n v="153.6"/>
    <n v="153"/>
    <x v="203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x v="189"/>
    <x v="231"/>
    <n v="150"/>
    <n v="135.19999999999999"/>
    <x v="155"/>
    <x v="84"/>
    <x v="190"/>
    <n v="144.5"/>
    <n v="148.69999999999999"/>
    <n v="133.9"/>
    <n v="141.19999999999999"/>
    <n v="155.5"/>
    <n v="155.19999999999999"/>
    <n v="144.80000000000001"/>
    <x v="204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x v="186"/>
    <x v="232"/>
    <n v="153.1"/>
    <n v="143.4"/>
    <x v="213"/>
    <x v="84"/>
    <x v="191"/>
    <n v="148.4"/>
    <n v="155"/>
    <n v="138.5"/>
    <n v="146"/>
    <n v="158.5"/>
    <n v="154.30000000000001"/>
    <n v="149"/>
    <x v="205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x v="190"/>
    <x v="233"/>
    <n v="155.4"/>
    <n v="149.9"/>
    <x v="214"/>
    <x v="0"/>
    <x v="161"/>
    <n v="151.6"/>
    <n v="159.1"/>
    <n v="144.6"/>
    <n v="152.80000000000001"/>
    <n v="161.1"/>
    <n v="157.4"/>
    <n v="153.69999999999999"/>
    <x v="206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x v="191"/>
    <x v="234"/>
    <n v="150.19999999999999"/>
    <n v="136.30000000000001"/>
    <x v="215"/>
    <x v="85"/>
    <x v="192"/>
    <n v="145.4"/>
    <n v="150"/>
    <n v="135.1"/>
    <n v="141.80000000000001"/>
    <n v="154.9"/>
    <n v="159.80000000000001"/>
    <n v="146"/>
    <x v="207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x v="192"/>
    <x v="235"/>
    <n v="153.4"/>
    <n v="144.30000000000001"/>
    <x v="216"/>
    <x v="85"/>
    <x v="193"/>
    <n v="148.69999999999999"/>
    <n v="155.6"/>
    <n v="139.6"/>
    <n v="146.6"/>
    <n v="157.5"/>
    <n v="158.4"/>
    <n v="150"/>
    <x v="203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x v="193"/>
    <x v="236"/>
    <n v="155.69999999999999"/>
    <n v="150.6"/>
    <x v="217"/>
    <x v="0"/>
    <x v="143"/>
    <n v="152"/>
    <n v="159.5"/>
    <n v="146.4"/>
    <n v="152.4"/>
    <n v="162.5"/>
    <n v="156.19999999999999"/>
    <n v="154.30000000000001"/>
    <x v="208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x v="194"/>
    <x v="234"/>
    <n v="150.5"/>
    <n v="136.1"/>
    <x v="158"/>
    <x v="86"/>
    <x v="187"/>
    <n v="145.1"/>
    <n v="151"/>
    <n v="135.4"/>
    <n v="142"/>
    <n v="155.69999999999999"/>
    <n v="158.1"/>
    <n v="146.19999999999999"/>
    <x v="209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x v="195"/>
    <x v="237"/>
    <n v="153.69999999999999"/>
    <n v="144.6"/>
    <x v="207"/>
    <x v="86"/>
    <x v="194"/>
    <n v="148.69999999999999"/>
    <n v="156.30000000000001"/>
    <n v="140.6"/>
    <n v="146.5"/>
    <n v="158.5"/>
    <n v="157"/>
    <n v="150.4"/>
    <x v="210"/>
  </r>
  <r>
    <x v="0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x v="196"/>
    <x v="238"/>
    <n v="156.30000000000001"/>
    <n v="151"/>
    <x v="218"/>
    <x v="0"/>
    <x v="195"/>
    <n v="152.80000000000001"/>
    <n v="160.4"/>
    <n v="146.1"/>
    <n v="153.6"/>
    <n v="161.6"/>
    <n v="156.19999999999999"/>
    <n v="154.5"/>
    <x v="211"/>
  </r>
  <r>
    <x v="1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x v="197"/>
    <x v="239"/>
    <n v="151.1"/>
    <n v="136.4"/>
    <x v="219"/>
    <x v="87"/>
    <x v="196"/>
    <n v="145.1"/>
    <n v="152"/>
    <n v="135.19999999999999"/>
    <n v="144.4"/>
    <n v="156.4"/>
    <n v="157.9"/>
    <n v="146.6"/>
    <x v="212"/>
  </r>
  <r>
    <x v="2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x v="198"/>
    <x v="240"/>
    <n v="154.30000000000001"/>
    <n v="144.9"/>
    <x v="220"/>
    <x v="87"/>
    <x v="197"/>
    <n v="149.19999999999999"/>
    <n v="157.19999999999999"/>
    <n v="140.4"/>
    <n v="148.4"/>
    <n v="158.6"/>
    <n v="156.9"/>
    <n v="150.69999999999999"/>
    <x v="213"/>
  </r>
  <r>
    <x v="0"/>
    <x v="7"/>
    <x v="11"/>
    <n v="144.6"/>
    <n v="188.5"/>
    <n v="173.4"/>
    <n v="154"/>
    <n v="150"/>
    <n v="145.9"/>
    <n v="225.2"/>
    <n v="159.5"/>
    <n v="114.4"/>
    <n v="163.5"/>
    <n v="153.4"/>
    <n v="163.6"/>
    <x v="199"/>
    <x v="241"/>
    <n v="157"/>
    <n v="151.6"/>
    <x v="221"/>
    <x v="0"/>
    <x v="198"/>
    <n v="153.4"/>
    <n v="161.6"/>
    <n v="146.4"/>
    <n v="153.9"/>
    <n v="162.9"/>
    <n v="156.6"/>
    <n v="155.19999999999999"/>
    <x v="214"/>
  </r>
  <r>
    <x v="1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x v="197"/>
    <x v="242"/>
    <n v="151.9"/>
    <n v="136.69999999999999"/>
    <x v="222"/>
    <x v="88"/>
    <x v="199"/>
    <n v="145.5"/>
    <n v="152.9"/>
    <n v="135.5"/>
    <n v="144.30000000000001"/>
    <n v="156.9"/>
    <n v="157.9"/>
    <n v="146.9"/>
    <x v="215"/>
  </r>
  <r>
    <x v="2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x v="200"/>
    <x v="243"/>
    <n v="155"/>
    <n v="145.4"/>
    <x v="223"/>
    <x v="88"/>
    <x v="179"/>
    <n v="149.69999999999999"/>
    <n v="158.30000000000001"/>
    <n v="140.69999999999999"/>
    <n v="148.5"/>
    <n v="159.4"/>
    <n v="157.1"/>
    <n v="151.19999999999999"/>
    <x v="216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x v="193"/>
    <x v="244"/>
    <n v="157.5"/>
    <n v="152.4"/>
    <x v="224"/>
    <x v="0"/>
    <x v="200"/>
    <n v="153.9"/>
    <n v="162.5"/>
    <n v="147.5"/>
    <n v="155.1"/>
    <n v="163.5"/>
    <n v="156.19999999999999"/>
    <n v="155.9"/>
    <x v="217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x v="196"/>
    <x v="245"/>
    <n v="152.5"/>
    <n v="137.30000000000001"/>
    <x v="225"/>
    <x v="89"/>
    <x v="193"/>
    <n v="145.69999999999999"/>
    <n v="154.1"/>
    <n v="136.9"/>
    <n v="145.4"/>
    <n v="156.1"/>
    <n v="157.69999999999999"/>
    <n v="147.6"/>
    <x v="218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x v="201"/>
    <x v="246"/>
    <n v="155.5"/>
    <n v="146.1"/>
    <x v="226"/>
    <x v="89"/>
    <x v="201"/>
    <n v="150"/>
    <n v="159.30000000000001"/>
    <n v="141.9"/>
    <n v="149.6"/>
    <n v="159.19999999999999"/>
    <n v="156.80000000000001"/>
    <n v="151.9"/>
    <x v="219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x v="202"/>
    <x v="246"/>
    <n v="159.1"/>
    <n v="153.9"/>
    <x v="227"/>
    <x v="0"/>
    <x v="202"/>
    <n v="154.80000000000001"/>
    <n v="164.3"/>
    <n v="150.19999999999999"/>
    <n v="157"/>
    <n v="163.6"/>
    <n v="155.19999999999999"/>
    <n v="157.19999999999999"/>
    <x v="212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x v="203"/>
    <x v="247"/>
    <n v="154.19999999999999"/>
    <n v="138.19999999999999"/>
    <x v="228"/>
    <x v="90"/>
    <x v="203"/>
    <n v="146.5"/>
    <n v="156.30000000000001"/>
    <n v="140.5"/>
    <n v="147.30000000000001"/>
    <n v="156.6"/>
    <n v="156.69999999999999"/>
    <n v="149.30000000000001"/>
    <x v="220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x v="204"/>
    <x v="248"/>
    <n v="157.19999999999999"/>
    <n v="147.4"/>
    <x v="229"/>
    <x v="90"/>
    <x v="204"/>
    <n v="150.9"/>
    <n v="161.30000000000001"/>
    <n v="145.1"/>
    <n v="151.5"/>
    <n v="159.5"/>
    <n v="155.80000000000001"/>
    <n v="153.4"/>
    <x v="221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x v="205"/>
    <x v="249"/>
    <n v="159.6"/>
    <n v="154.4"/>
    <x v="230"/>
    <x v="0"/>
    <x v="205"/>
    <n v="154.80000000000001"/>
    <n v="164.6"/>
    <n v="151.30000000000001"/>
    <n v="157.80000000000001"/>
    <n v="163.80000000000001"/>
    <n v="153.1"/>
    <n v="157.30000000000001"/>
    <x v="212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x v="206"/>
    <x v="250"/>
    <n v="155.1"/>
    <n v="138.69999999999999"/>
    <x v="231"/>
    <x v="91"/>
    <x v="206"/>
    <n v="147.19999999999999"/>
    <n v="156.9"/>
    <n v="141.69999999999999"/>
    <n v="148.6"/>
    <n v="157.6"/>
    <n v="154.9"/>
    <n v="150"/>
    <x v="215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x v="207"/>
    <x v="251"/>
    <n v="157.80000000000001"/>
    <n v="147.9"/>
    <x v="232"/>
    <x v="91"/>
    <x v="207"/>
    <n v="151.19999999999999"/>
    <n v="161.69999999999999"/>
    <n v="146.19999999999999"/>
    <n v="152.6"/>
    <n v="160.19999999999999"/>
    <n v="153.80000000000001"/>
    <n v="153.80000000000001"/>
    <x v="222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x v="208"/>
    <x v="252"/>
    <n v="160.69999999999999"/>
    <n v="155.1"/>
    <x v="233"/>
    <x v="0"/>
    <x v="205"/>
    <n v="155.5"/>
    <n v="165.3"/>
    <n v="151.69999999999999"/>
    <n v="158.6"/>
    <n v="164.1"/>
    <n v="154.6"/>
    <n v="158"/>
    <x v="223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x v="209"/>
    <x v="253"/>
    <n v="155.9"/>
    <n v="139.30000000000001"/>
    <x v="234"/>
    <x v="92"/>
    <x v="208"/>
    <n v="147.6"/>
    <n v="157.5"/>
    <n v="142.1"/>
    <n v="149.1"/>
    <n v="157.6"/>
    <n v="156.6"/>
    <n v="150.5"/>
    <x v="224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x v="192"/>
    <x v="239"/>
    <n v="158.80000000000001"/>
    <n v="148.5"/>
    <x v="235"/>
    <x v="92"/>
    <x v="209"/>
    <n v="151.80000000000001"/>
    <n v="162.30000000000001"/>
    <n v="146.6"/>
    <n v="153.19999999999999"/>
    <n v="160.30000000000001"/>
    <n v="155.4"/>
    <n v="154.4"/>
    <x v="225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x v="210"/>
    <x v="254"/>
    <n v="165.3"/>
    <n v="160.6"/>
    <x v="236"/>
    <x v="0"/>
    <x v="210"/>
    <n v="158.80000000000001"/>
    <n v="169.1"/>
    <n v="153.19999999999999"/>
    <n v="160"/>
    <n v="167.6"/>
    <n v="159.30000000000001"/>
    <n v="161.1"/>
    <x v="226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x v="211"/>
    <x v="255"/>
    <n v="156.5"/>
    <n v="140.19999999999999"/>
    <x v="210"/>
    <x v="93"/>
    <x v="207"/>
    <n v="150.1"/>
    <n v="160.4"/>
    <n v="145"/>
    <n v="152.6"/>
    <n v="156.6"/>
    <n v="157.5"/>
    <n v="152.30000000000001"/>
    <x v="227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x v="212"/>
    <x v="256"/>
    <n v="161.80000000000001"/>
    <n v="152.1"/>
    <x v="237"/>
    <x v="93"/>
    <x v="211"/>
    <n v="154.69999999999999"/>
    <n v="165.8"/>
    <n v="148.9"/>
    <n v="155.80000000000001"/>
    <n v="161.19999999999999"/>
    <n v="158.6"/>
    <n v="156.80000000000001"/>
    <x v="228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x v="213"/>
    <x v="257"/>
    <n v="165.3"/>
    <n v="159.9"/>
    <x v="238"/>
    <x v="0"/>
    <x v="212"/>
    <n v="159.19999999999999"/>
    <n v="169.7"/>
    <n v="154.19999999999999"/>
    <n v="160.4"/>
    <n v="166.8"/>
    <n v="159.4"/>
    <n v="161.5"/>
    <x v="229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x v="214"/>
    <x v="258"/>
    <n v="157.30000000000001"/>
    <n v="140.5"/>
    <x v="239"/>
    <x v="94"/>
    <x v="213"/>
    <n v="149.80000000000001"/>
    <n v="160.80000000000001"/>
    <n v="147.5"/>
    <n v="150.69999999999999"/>
    <n v="158.1"/>
    <n v="158"/>
    <n v="153.4"/>
    <x v="228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x v="215"/>
    <x v="259"/>
    <n v="162.19999999999999"/>
    <n v="151.80000000000001"/>
    <x v="240"/>
    <x v="94"/>
    <x v="214"/>
    <n v="154.80000000000001"/>
    <n v="166.3"/>
    <n v="150.69999999999999"/>
    <n v="154.9"/>
    <n v="161.69999999999999"/>
    <n v="158.80000000000001"/>
    <n v="157.6"/>
    <x v="230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x v="216"/>
    <x v="260"/>
    <n v="166"/>
    <n v="161.1"/>
    <x v="241"/>
    <x v="0"/>
    <x v="215"/>
    <n v="160.30000000000001"/>
    <n v="170.4"/>
    <n v="157.1"/>
    <n v="160.69999999999999"/>
    <n v="167.2"/>
    <n v="160.4"/>
    <n v="162.80000000000001"/>
    <x v="231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x v="217"/>
    <x v="261"/>
    <n v="157.9"/>
    <n v="141.9"/>
    <x v="218"/>
    <x v="95"/>
    <x v="216"/>
    <n v="150.69999999999999"/>
    <n v="161.5"/>
    <n v="149.5"/>
    <n v="151.19999999999999"/>
    <n v="160.30000000000001"/>
    <n v="159.6"/>
    <n v="155"/>
    <x v="232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x v="218"/>
    <x v="262"/>
    <n v="162.80000000000001"/>
    <n v="153.1"/>
    <x v="242"/>
    <x v="95"/>
    <x v="217"/>
    <n v="155.80000000000001"/>
    <n v="167"/>
    <n v="153.1"/>
    <n v="155.30000000000001"/>
    <n v="163.19999999999999"/>
    <n v="160.1"/>
    <n v="159"/>
    <x v="233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x v="219"/>
    <x v="242"/>
    <n v="167"/>
    <n v="162.6"/>
    <x v="243"/>
    <x v="0"/>
    <x v="218"/>
    <n v="160.9"/>
    <n v="171.1"/>
    <n v="157.69999999999999"/>
    <n v="161.1"/>
    <n v="167.5"/>
    <n v="160.30000000000001"/>
    <n v="163.30000000000001"/>
    <x v="234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x v="220"/>
    <x v="263"/>
    <n v="159.80000000000001"/>
    <n v="143.6"/>
    <x v="235"/>
    <x v="96"/>
    <x v="217"/>
    <n v="153.19999999999999"/>
    <n v="162.80000000000001"/>
    <n v="150.4"/>
    <n v="153.69999999999999"/>
    <n v="160.4"/>
    <n v="159.6"/>
    <n v="156"/>
    <x v="235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x v="218"/>
    <x v="264"/>
    <n v="164.5"/>
    <n v="155.30000000000001"/>
    <x v="244"/>
    <x v="96"/>
    <x v="219"/>
    <n v="157.5"/>
    <n v="168.4"/>
    <n v="154"/>
    <n v="157.6"/>
    <n v="163.80000000000001"/>
    <n v="160"/>
    <n v="160"/>
    <x v="231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x v="221"/>
    <x v="265"/>
    <n v="167.7"/>
    <n v="163.6"/>
    <x v="245"/>
    <x v="0"/>
    <x v="220"/>
    <n v="161.30000000000001"/>
    <n v="171.9"/>
    <n v="157.80000000000001"/>
    <n v="162.69999999999999"/>
    <n v="168.5"/>
    <n v="160.19999999999999"/>
    <n v="163.80000000000001"/>
    <x v="236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x v="220"/>
    <x v="263"/>
    <n v="159.80000000000001"/>
    <n v="143.6"/>
    <x v="246"/>
    <x v="96"/>
    <x v="221"/>
    <n v="153.30000000000001"/>
    <n v="162.80000000000001"/>
    <n v="150.5"/>
    <n v="153.9"/>
    <n v="160.30000000000001"/>
    <n v="159.6"/>
    <n v="156"/>
    <x v="235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x v="218"/>
    <x v="264"/>
    <n v="164.6"/>
    <n v="155.30000000000001"/>
    <x v="247"/>
    <x v="96"/>
    <x v="219"/>
    <n v="157.5"/>
    <n v="168.4"/>
    <n v="154"/>
    <n v="157.69999999999999"/>
    <n v="163.69999999999999"/>
    <n v="160"/>
    <n v="160"/>
    <x v="231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x v="222"/>
    <x v="262"/>
    <n v="168.9"/>
    <n v="164.8"/>
    <x v="248"/>
    <x v="0"/>
    <x v="222"/>
    <n v="162"/>
    <n v="172.5"/>
    <n v="159.5"/>
    <n v="163.19999999999999"/>
    <n v="169"/>
    <n v="161.1"/>
    <n v="164.7"/>
    <x v="237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x v="223"/>
    <x v="266"/>
    <n v="160.80000000000001"/>
    <n v="144.4"/>
    <x v="249"/>
    <x v="97"/>
    <x v="223"/>
    <n v="154.30000000000001"/>
    <n v="163.5"/>
    <n v="152.19999999999999"/>
    <n v="155.1"/>
    <n v="160.30000000000001"/>
    <n v="160.30000000000001"/>
    <n v="157"/>
    <x v="238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x v="224"/>
    <x v="267"/>
    <n v="165.7"/>
    <n v="156.30000000000001"/>
    <x v="250"/>
    <x v="97"/>
    <x v="224"/>
    <n v="158.4"/>
    <n v="169.1"/>
    <n v="155.69999999999999"/>
    <n v="158.6"/>
    <n v="163.9"/>
    <n v="160.80000000000001"/>
    <n v="161"/>
    <x v="239"/>
  </r>
  <r>
    <x v="0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x v="225"/>
    <x v="268"/>
    <n v="170.4"/>
    <n v="166"/>
    <x v="251"/>
    <x v="0"/>
    <x v="225"/>
    <n v="162.9"/>
    <n v="173.4"/>
    <n v="158.9"/>
    <n v="163.80000000000001"/>
    <n v="169.3"/>
    <n v="162.4"/>
    <n v="165.2"/>
    <x v="240"/>
  </r>
  <r>
    <x v="1"/>
    <x v="8"/>
    <x v="10"/>
    <n v="151"/>
    <n v="204.9"/>
    <n v="175.4"/>
    <n v="159.6"/>
    <n v="175.8"/>
    <n v="160.30000000000001"/>
    <n v="229.1"/>
    <n v="165.1"/>
    <n v="123.1"/>
    <n v="167.2"/>
    <n v="156.1"/>
    <n v="176.8"/>
    <x v="226"/>
    <x v="266"/>
    <n v="162.30000000000001"/>
    <n v="145.30000000000001"/>
    <x v="252"/>
    <x v="98"/>
    <x v="226"/>
    <n v="155.19999999999999"/>
    <n v="164.2"/>
    <n v="151.19999999999999"/>
    <n v="156.69999999999999"/>
    <n v="160.80000000000001"/>
    <n v="161.80000000000001"/>
    <n v="157.30000000000001"/>
    <x v="241"/>
  </r>
  <r>
    <x v="2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x v="227"/>
    <x v="269"/>
    <n v="167.2"/>
    <n v="157.4"/>
    <x v="253"/>
    <x v="98"/>
    <x v="227"/>
    <n v="159.30000000000001"/>
    <n v="169.9"/>
    <n v="154.80000000000001"/>
    <n v="159.80000000000001"/>
    <n v="164.3"/>
    <n v="162.19999999999999"/>
    <n v="161.4"/>
    <x v="242"/>
  </r>
  <r>
    <x v="0"/>
    <x v="8"/>
    <x v="11"/>
    <n v="147.4"/>
    <n v="197"/>
    <n v="176.5"/>
    <n v="159.80000000000001"/>
    <n v="195.8"/>
    <n v="152"/>
    <n v="172.3"/>
    <n v="164.5"/>
    <n v="120.6"/>
    <n v="171.7"/>
    <n v="169.7"/>
    <n v="175.1"/>
    <x v="228"/>
    <x v="259"/>
    <n v="171.8"/>
    <n v="167.3"/>
    <x v="254"/>
    <x v="0"/>
    <x v="228"/>
    <n v="163.9"/>
    <n v="174"/>
    <n v="160.1"/>
    <n v="164.5"/>
    <n v="169.7"/>
    <n v="162.80000000000001"/>
    <n v="166"/>
    <x v="243"/>
  </r>
  <r>
    <x v="1"/>
    <x v="8"/>
    <x v="11"/>
    <n v="151.6"/>
    <n v="202.2"/>
    <n v="180"/>
    <n v="160"/>
    <n v="173.5"/>
    <n v="158.30000000000001"/>
    <n v="219.5"/>
    <n v="164.2"/>
    <n v="121.9"/>
    <n v="168.2"/>
    <n v="156.5"/>
    <n v="178.2"/>
    <x v="229"/>
    <x v="270"/>
    <n v="163.30000000000001"/>
    <n v="146.69999999999999"/>
    <x v="240"/>
    <x v="99"/>
    <x v="210"/>
    <n v="156"/>
    <n v="165.1"/>
    <n v="151.80000000000001"/>
    <n v="157.6"/>
    <n v="160.6"/>
    <n v="162.4"/>
    <n v="157.80000000000001"/>
    <x v="244"/>
  </r>
  <r>
    <x v="2"/>
    <x v="8"/>
    <x v="11"/>
    <n v="148.69999999999999"/>
    <n v="198.8"/>
    <n v="177.9"/>
    <n v="159.9"/>
    <n v="187.6"/>
    <n v="154.9"/>
    <n v="188.3"/>
    <n v="164.4"/>
    <n v="121"/>
    <n v="170.5"/>
    <n v="164.2"/>
    <n v="176.5"/>
    <x v="230"/>
    <x v="271"/>
    <n v="168.5"/>
    <n v="158.69999999999999"/>
    <x v="255"/>
    <x v="99"/>
    <x v="229"/>
    <n v="160.19999999999999"/>
    <n v="170.6"/>
    <n v="155.69999999999999"/>
    <n v="160.6"/>
    <n v="164.4"/>
    <n v="162.6"/>
    <n v="162"/>
    <x v="245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x v="231"/>
    <x v="272"/>
    <n v="173.2"/>
    <n v="169.3"/>
    <x v="256"/>
    <x v="0"/>
    <x v="230"/>
    <n v="164.9"/>
    <n v="174.7"/>
    <n v="160.80000000000001"/>
    <n v="164.9"/>
    <n v="169.9"/>
    <n v="163.19999999999999"/>
    <n v="166.6"/>
    <x v="246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x v="232"/>
    <x v="273"/>
    <n v="164.7"/>
    <n v="148.5"/>
    <x v="257"/>
    <x v="100"/>
    <x v="226"/>
    <n v="156.80000000000001"/>
    <n v="166.1"/>
    <n v="152.69999999999999"/>
    <n v="158.4"/>
    <n v="161"/>
    <n v="162.80000000000001"/>
    <n v="158.6"/>
    <x v="247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x v="233"/>
    <x v="274"/>
    <n v="169.9"/>
    <n v="160.69999999999999"/>
    <x v="258"/>
    <x v="100"/>
    <x v="224"/>
    <n v="161.1"/>
    <n v="171.4"/>
    <n v="156.5"/>
    <n v="161.19999999999999"/>
    <n v="164.7"/>
    <n v="163"/>
    <n v="162.69999999999999"/>
    <x v="248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x v="234"/>
    <x v="275"/>
    <n v="174.1"/>
    <n v="171"/>
    <x v="259"/>
    <x v="0"/>
    <x v="231"/>
    <n v="165.7"/>
    <n v="175.3"/>
    <n v="161.19999999999999"/>
    <n v="165.5"/>
    <n v="170.3"/>
    <n v="164.5"/>
    <n v="167.3"/>
    <x v="242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x v="235"/>
    <x v="263"/>
    <n v="165.7"/>
    <n v="150.4"/>
    <x v="260"/>
    <x v="101"/>
    <x v="232"/>
    <n v="157.4"/>
    <n v="167.2"/>
    <n v="153.1"/>
    <n v="159.5"/>
    <n v="162"/>
    <n v="164.2"/>
    <n v="159.4"/>
    <x v="239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x v="214"/>
    <x v="276"/>
    <n v="170.8"/>
    <n v="162.4"/>
    <x v="261"/>
    <x v="101"/>
    <x v="233"/>
    <n v="161.80000000000001"/>
    <n v="172.2"/>
    <n v="156.9"/>
    <n v="162.1"/>
    <n v="165.4"/>
    <n v="164.4"/>
    <n v="163.5"/>
    <x v="249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x v="236"/>
    <x v="277"/>
    <n v="175.4"/>
    <n v="173.2"/>
    <x v="262"/>
    <x v="0"/>
    <x v="234"/>
    <n v="166.5"/>
    <n v="176"/>
    <n v="162"/>
    <n v="166.6"/>
    <n v="170.6"/>
    <n v="167.4"/>
    <n v="168.3"/>
    <x v="250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x v="223"/>
    <x v="278"/>
    <n v="167.1"/>
    <n v="152.6"/>
    <x v="263"/>
    <x v="102"/>
    <x v="235"/>
    <n v="158.6"/>
    <n v="168.2"/>
    <n v="154.19999999999999"/>
    <n v="160.80000000000001"/>
    <n v="162.69999999999999"/>
    <n v="166.8"/>
    <n v="160.6"/>
    <x v="251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x v="237"/>
    <x v="279"/>
    <n v="172.1"/>
    <n v="164.6"/>
    <x v="264"/>
    <x v="102"/>
    <x v="236"/>
    <n v="162.80000000000001"/>
    <n v="173"/>
    <n v="157.9"/>
    <n v="163.30000000000001"/>
    <n v="166"/>
    <n v="167.2"/>
    <n v="164.6"/>
    <x v="252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x v="238"/>
    <x v="276"/>
    <n v="177.5"/>
    <n v="175.1"/>
    <x v="265"/>
    <x v="0"/>
    <x v="237"/>
    <n v="167.7"/>
    <n v="177"/>
    <n v="166.2"/>
    <n v="167.2"/>
    <n v="170.9"/>
    <n v="169"/>
    <n v="170.2"/>
    <x v="253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x v="239"/>
    <x v="280"/>
    <n v="168.4"/>
    <n v="154.5"/>
    <x v="243"/>
    <x v="103"/>
    <x v="238"/>
    <n v="159.80000000000001"/>
    <n v="169"/>
    <n v="159.30000000000001"/>
    <n v="162.19999999999999"/>
    <n v="164"/>
    <n v="168.4"/>
    <n v="163.1"/>
    <x v="254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x v="240"/>
    <x v="281"/>
    <n v="173.9"/>
    <n v="166.5"/>
    <x v="266"/>
    <x v="103"/>
    <x v="239"/>
    <n v="164"/>
    <n v="174"/>
    <n v="162.6"/>
    <n v="164.4"/>
    <n v="166.9"/>
    <n v="168.8"/>
    <n v="166.8"/>
    <x v="255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x v="240"/>
    <x v="269"/>
    <n v="179.3"/>
    <n v="177.2"/>
    <x v="267"/>
    <x v="0"/>
    <x v="240"/>
    <n v="168.9"/>
    <n v="177.7"/>
    <n v="167.1"/>
    <n v="167.6"/>
    <n v="171.8"/>
    <n v="168.5"/>
    <n v="170.9"/>
    <x v="256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x v="241"/>
    <x v="278"/>
    <n v="170"/>
    <n v="155.9"/>
    <x v="268"/>
    <x v="104"/>
    <x v="241"/>
    <n v="161.1"/>
    <n v="170.1"/>
    <n v="159.4"/>
    <n v="163.19999999999999"/>
    <n v="165.2"/>
    <n v="168.2"/>
    <n v="163.80000000000001"/>
    <x v="253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x v="242"/>
    <x v="282"/>
    <n v="175.6"/>
    <n v="168.4"/>
    <x v="269"/>
    <x v="104"/>
    <x v="242"/>
    <n v="165.2"/>
    <n v="174.8"/>
    <n v="163"/>
    <n v="165.1"/>
    <n v="167.9"/>
    <n v="168.4"/>
    <n v="167.5"/>
    <x v="257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x v="243"/>
    <x v="269"/>
    <n v="180.7"/>
    <n v="178.7"/>
    <x v="270"/>
    <x v="0"/>
    <x v="243"/>
    <n v="170.3"/>
    <n v="178.2"/>
    <n v="165.5"/>
    <n v="168"/>
    <n v="172.6"/>
    <n v="169.5"/>
    <n v="171"/>
    <x v="258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x v="244"/>
    <x v="283"/>
    <n v="171.6"/>
    <n v="157.4"/>
    <x v="271"/>
    <x v="105"/>
    <x v="244"/>
    <n v="162.1"/>
    <n v="170.9"/>
    <n v="157.19999999999999"/>
    <n v="164.1"/>
    <n v="166.5"/>
    <n v="169.2"/>
    <n v="163.80000000000001"/>
    <x v="259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x v="245"/>
    <x v="284"/>
    <n v="177.1"/>
    <n v="169.9"/>
    <x v="272"/>
    <x v="105"/>
    <x v="245"/>
    <n v="166.4"/>
    <n v="175.4"/>
    <n v="161.1"/>
    <n v="165.8"/>
    <n v="169"/>
    <n v="169.4"/>
    <n v="167.5"/>
    <x v="260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x v="246"/>
    <x v="285"/>
    <n v="182"/>
    <n v="180.3"/>
    <x v="273"/>
    <x v="0"/>
    <x v="246"/>
    <n v="171.3"/>
    <n v="178.8"/>
    <n v="166.3"/>
    <n v="168.6"/>
    <n v="174.7"/>
    <n v="169.7"/>
    <n v="171.8"/>
    <x v="261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x v="247"/>
    <x v="286"/>
    <n v="172.7"/>
    <n v="158.69999999999999"/>
    <x v="274"/>
    <x v="106"/>
    <x v="247"/>
    <n v="163.1"/>
    <n v="171.7"/>
    <n v="157.4"/>
    <n v="164.6"/>
    <n v="169.1"/>
    <n v="169.8"/>
    <n v="164.7"/>
    <x v="262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x v="248"/>
    <x v="287"/>
    <n v="178.3"/>
    <n v="171.3"/>
    <x v="275"/>
    <x v="106"/>
    <x v="246"/>
    <n v="167.4"/>
    <n v="176.1"/>
    <n v="161.6"/>
    <n v="166.3"/>
    <n v="171.4"/>
    <n v="169.7"/>
    <n v="168.4"/>
    <x v="263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x v="249"/>
    <x v="279"/>
    <n v="183.2"/>
    <n v="181.7"/>
    <x v="276"/>
    <x v="0"/>
    <x v="248"/>
    <n v="172.3"/>
    <n v="179.4"/>
    <n v="166.6"/>
    <n v="169.3"/>
    <n v="175.7"/>
    <n v="171.1"/>
    <n v="172.6"/>
    <x v="264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x v="250"/>
    <x v="288"/>
    <n v="173.7"/>
    <n v="160"/>
    <x v="277"/>
    <x v="107"/>
    <x v="249"/>
    <n v="164.2"/>
    <n v="172.6"/>
    <n v="157.69999999999999"/>
    <n v="165.1"/>
    <n v="169.9"/>
    <n v="171.4"/>
    <n v="165.4"/>
    <x v="265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x v="251"/>
    <x v="289"/>
    <n v="179.5"/>
    <n v="172.7"/>
    <x v="278"/>
    <x v="107"/>
    <x v="250"/>
    <n v="168.5"/>
    <n v="176.8"/>
    <n v="161.9"/>
    <n v="166.9"/>
    <n v="172.3"/>
    <n v="171.2"/>
    <n v="169.1"/>
    <x v="261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x v="252"/>
    <x v="290"/>
    <n v="184.7"/>
    <n v="183.3"/>
    <x v="279"/>
    <x v="0"/>
    <x v="251"/>
    <n v="173.6"/>
    <n v="180.2"/>
    <n v="166.9"/>
    <n v="170"/>
    <n v="176.2"/>
    <n v="170.8"/>
    <n v="173.1"/>
    <x v="266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x v="253"/>
    <x v="291"/>
    <n v="175"/>
    <n v="161.69999999999999"/>
    <x v="280"/>
    <x v="108"/>
    <x v="252"/>
    <n v="165"/>
    <n v="173.8"/>
    <n v="158.19999999999999"/>
    <n v="165.8"/>
    <n v="170.9"/>
    <n v="171.1"/>
    <n v="166.1"/>
    <x v="267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x v="254"/>
    <x v="292"/>
    <n v="180.9"/>
    <n v="174.3"/>
    <x v="281"/>
    <x v="108"/>
    <x v="247"/>
    <n v="169.5"/>
    <n v="177.8"/>
    <n v="162.30000000000001"/>
    <n v="167.6"/>
    <n v="173.1"/>
    <n v="170.9"/>
    <n v="169.7"/>
    <x v="264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x v="255"/>
    <x v="293"/>
    <n v="186.1"/>
    <n v="184.4"/>
    <x v="282"/>
    <x v="0"/>
    <x v="253"/>
    <n v="174.4"/>
    <n v="181.2"/>
    <n v="167.4"/>
    <n v="170.6"/>
    <n v="176.5"/>
    <n v="172"/>
    <n v="173.9"/>
    <x v="268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x v="256"/>
    <x v="294"/>
    <n v="175.5"/>
    <n v="162.6"/>
    <x v="283"/>
    <x v="109"/>
    <x v="254"/>
    <n v="166"/>
    <n v="174.7"/>
    <n v="158.80000000000001"/>
    <n v="166.3"/>
    <n v="171.2"/>
    <n v="172.3"/>
    <n v="166.8"/>
    <x v="264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x v="257"/>
    <x v="295"/>
    <n v="181.9"/>
    <n v="175.3"/>
    <x v="284"/>
    <x v="109"/>
    <x v="255"/>
    <n v="170.4"/>
    <n v="178.7"/>
    <n v="162.9"/>
    <n v="168.2"/>
    <n v="173.4"/>
    <n v="172.1"/>
    <n v="170.5"/>
    <x v="269"/>
  </r>
  <r>
    <x v="0"/>
    <x v="9"/>
    <x v="10"/>
    <n v="166.9"/>
    <n v="207.2"/>
    <n v="180.2"/>
    <n v="172.3"/>
    <n v="194"/>
    <n v="159.1"/>
    <n v="171.6"/>
    <n v="170.2"/>
    <n v="121.5"/>
    <n v="204.8"/>
    <n v="176.4"/>
    <n v="186.9"/>
    <x v="258"/>
    <x v="261"/>
    <n v="187.2"/>
    <n v="185.2"/>
    <x v="285"/>
    <x v="0"/>
    <x v="256"/>
    <n v="175.5"/>
    <n v="182.3"/>
    <n v="167.5"/>
    <n v="170.8"/>
    <n v="176.9"/>
    <n v="173.4"/>
    <n v="174.6"/>
    <x v="270"/>
  </r>
  <r>
    <x v="1"/>
    <x v="9"/>
    <x v="10"/>
    <n v="168.4"/>
    <n v="213.4"/>
    <n v="183.2"/>
    <n v="172.3"/>
    <n v="180"/>
    <n v="162.6"/>
    <n v="205.5"/>
    <n v="171"/>
    <n v="123.4"/>
    <n v="198.8"/>
    <n v="162.1"/>
    <n v="192.4"/>
    <x v="259"/>
    <x v="296"/>
    <n v="176.7"/>
    <n v="163.5"/>
    <x v="286"/>
    <x v="110"/>
    <x v="257"/>
    <n v="166.9"/>
    <n v="175.8"/>
    <n v="158.9"/>
    <n v="166.7"/>
    <n v="171.5"/>
    <n v="173.8"/>
    <n v="167.4"/>
    <x v="267"/>
  </r>
  <r>
    <x v="2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x v="260"/>
    <x v="297"/>
    <n v="183.1"/>
    <n v="176.2"/>
    <x v="287"/>
    <x v="110"/>
    <x v="258"/>
    <n v="171.4"/>
    <n v="179.8"/>
    <n v="163"/>
    <n v="168.5"/>
    <n v="173.7"/>
    <n v="173.6"/>
    <n v="171.1"/>
    <x v="271"/>
  </r>
  <r>
    <x v="0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x v="261"/>
    <x v="292"/>
    <n v="188.1"/>
    <n v="185.9"/>
    <x v="288"/>
    <x v="0"/>
    <x v="259"/>
    <n v="176.4"/>
    <n v="183.5"/>
    <n v="167.8"/>
    <n v="171.2"/>
    <n v="177.3"/>
    <n v="175.7"/>
    <n v="175.5"/>
    <x v="272"/>
  </r>
  <r>
    <x v="1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x v="262"/>
    <x v="298"/>
    <n v="177.7"/>
    <n v="164.5"/>
    <x v="289"/>
    <x v="111"/>
    <x v="260"/>
    <n v="167.3"/>
    <n v="177.2"/>
    <n v="159.4"/>
    <n v="167.1"/>
    <n v="171.8"/>
    <n v="176"/>
    <n v="168.2"/>
    <x v="267"/>
  </r>
  <r>
    <x v="2"/>
    <x v="9"/>
    <x v="11"/>
    <n v="169.2"/>
    <n v="209"/>
    <n v="190.2"/>
    <n v="173.6"/>
    <n v="188.5"/>
    <n v="158"/>
    <n v="159.9"/>
    <n v="170.8"/>
    <n v="121.8"/>
    <n v="205.2"/>
    <n v="171"/>
    <n v="190.3"/>
    <x v="263"/>
    <x v="299"/>
    <n v="184"/>
    <n v="177"/>
    <x v="276"/>
    <x v="111"/>
    <x v="261"/>
    <n v="172.1"/>
    <n v="181.1"/>
    <n v="163.4"/>
    <n v="168.9"/>
    <n v="174.1"/>
    <n v="175.8"/>
    <n v="172"/>
    <x v="273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x v="248"/>
    <x v="297"/>
    <n v="189"/>
    <n v="186.3"/>
    <x v="290"/>
    <x v="0"/>
    <x v="262"/>
    <n v="177.2"/>
    <n v="184.7"/>
    <n v="168.2"/>
    <n v="171.8"/>
    <n v="177.8"/>
    <n v="178.4"/>
    <n v="176.5"/>
    <x v="270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x v="264"/>
    <x v="300"/>
    <n v="178.7"/>
    <n v="165.3"/>
    <x v="291"/>
    <x v="112"/>
    <x v="263"/>
    <n v="168"/>
    <n v="178.5"/>
    <n v="159.5"/>
    <n v="167.8"/>
    <n v="171.8"/>
    <n v="178.8"/>
    <n v="168.9"/>
    <x v="274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x v="265"/>
    <x v="255"/>
    <n v="184.9"/>
    <n v="177.6"/>
    <x v="292"/>
    <x v="112"/>
    <x v="261"/>
    <n v="172.9"/>
    <n v="182.3"/>
    <n v="163.6"/>
    <n v="169.5"/>
    <n v="174.3"/>
    <n v="178.6"/>
    <n v="172.8"/>
    <x v="271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x v="266"/>
    <x v="283"/>
    <n v="190"/>
    <n v="187"/>
    <x v="293"/>
    <x v="0"/>
    <x v="264"/>
    <n v="178.6"/>
    <n v="186.6"/>
    <n v="169"/>
    <n v="172.8"/>
    <n v="178.5"/>
    <n v="180.7"/>
    <n v="177.9"/>
    <x v="275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x v="267"/>
    <x v="301"/>
    <n v="180.3"/>
    <n v="167"/>
    <x v="294"/>
    <x v="113"/>
    <x v="259"/>
    <n v="169.2"/>
    <n v="180.8"/>
    <n v="159.80000000000001"/>
    <n v="168.4"/>
    <n v="172.5"/>
    <n v="181.4"/>
    <n v="170"/>
    <x v="276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x v="268"/>
    <x v="302"/>
    <n v="186.2"/>
    <n v="178.7"/>
    <x v="295"/>
    <x v="113"/>
    <x v="265"/>
    <n v="174.2"/>
    <n v="184.4"/>
    <n v="164.2"/>
    <n v="170.3"/>
    <n v="175"/>
    <n v="181"/>
    <n v="174.1"/>
    <x v="277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x v="266"/>
    <x v="303"/>
    <n v="190"/>
    <n v="187"/>
    <x v="293"/>
    <x v="0"/>
    <x v="266"/>
    <n v="178.6"/>
    <n v="186.6"/>
    <n v="169"/>
    <n v="172.8"/>
    <n v="178.5"/>
    <n v="180.7"/>
    <n v="177.9"/>
    <x v="275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x v="269"/>
    <x v="301"/>
    <n v="180.2"/>
    <n v="167"/>
    <x v="294"/>
    <x v="113"/>
    <x v="267"/>
    <n v="169.2"/>
    <n v="180.8"/>
    <n v="159.80000000000001"/>
    <n v="168.4"/>
    <n v="172.5"/>
    <n v="181.5"/>
    <n v="170"/>
    <x v="276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x v="268"/>
    <x v="302"/>
    <n v="186.1"/>
    <n v="178.7"/>
    <x v="295"/>
    <x v="113"/>
    <x v="256"/>
    <n v="174.2"/>
    <n v="184.4"/>
    <n v="164.2"/>
    <n v="170.3"/>
    <n v="175"/>
    <n v="181"/>
    <n v="174.1"/>
    <x v="277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x v="252"/>
    <x v="302"/>
    <n v="190.7"/>
    <n v="187.3"/>
    <x v="296"/>
    <x v="0"/>
    <x v="268"/>
    <n v="179.1"/>
    <n v="187.2"/>
    <n v="169.4"/>
    <n v="173.2"/>
    <n v="179.4"/>
    <n v="183.8"/>
    <n v="178.9"/>
    <x v="278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x v="270"/>
    <x v="304"/>
    <n v="181"/>
    <n v="167.7"/>
    <x v="297"/>
    <x v="114"/>
    <x v="265"/>
    <n v="169.6"/>
    <n v="181.5"/>
    <n v="160.1"/>
    <n v="168.8"/>
    <n v="174.2"/>
    <n v="184.4"/>
    <n v="170.9"/>
    <x v="279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x v="271"/>
    <x v="296"/>
    <n v="186.9"/>
    <n v="179.2"/>
    <x v="298"/>
    <x v="114"/>
    <x v="269"/>
    <n v="174.6"/>
    <n v="185"/>
    <n v="164.5"/>
    <n v="170.7"/>
    <n v="176.4"/>
    <n v="184"/>
    <n v="175"/>
    <x v="280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x v="272"/>
    <x v="305"/>
    <n v="191.2"/>
    <n v="187.9"/>
    <x v="299"/>
    <x v="0"/>
    <x v="270"/>
    <n v="179.8"/>
    <n v="187.8"/>
    <n v="169.7"/>
    <n v="173.8"/>
    <n v="180.3"/>
    <n v="184.9"/>
    <n v="179.5"/>
    <x v="281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x v="273"/>
    <x v="306"/>
    <n v="181.3"/>
    <n v="168.1"/>
    <x v="300"/>
    <x v="115"/>
    <x v="271"/>
    <n v="170.1"/>
    <n v="182.2"/>
    <n v="160.4"/>
    <n v="169.2"/>
    <n v="174.8"/>
    <n v="185.6"/>
    <n v="171.6"/>
    <x v="282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x v="274"/>
    <x v="307"/>
    <n v="187.3"/>
    <n v="179.7"/>
    <x v="301"/>
    <x v="115"/>
    <x v="259"/>
    <n v="175.2"/>
    <n v="185.7"/>
    <n v="164.8"/>
    <n v="171.2"/>
    <n v="177.1"/>
    <n v="185.2"/>
    <n v="175.7"/>
    <x v="2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x v="0"/>
    <x v="0"/>
    <n v="2023"/>
  </r>
  <r>
    <x v="0"/>
    <x v="1"/>
    <x v="1"/>
    <m/>
  </r>
  <r>
    <x v="0"/>
    <x v="1"/>
    <x v="2"/>
    <m/>
  </r>
  <r>
    <x v="0"/>
    <x v="1"/>
    <x v="3"/>
    <m/>
  </r>
  <r>
    <x v="0"/>
    <x v="1"/>
    <x v="4"/>
    <m/>
  </r>
  <r>
    <x v="0"/>
    <x v="1"/>
    <x v="5"/>
    <m/>
  </r>
  <r>
    <x v="0"/>
    <x v="1"/>
    <x v="6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0"/>
    <x v="1"/>
    <x v="7"/>
    <m/>
  </r>
  <r>
    <x v="1"/>
    <x v="0"/>
    <x v="0"/>
    <n v="172.4"/>
  </r>
  <r>
    <x v="2"/>
    <x v="0"/>
    <x v="0"/>
    <n v="179.3"/>
  </r>
  <r>
    <x v="3"/>
    <x v="0"/>
    <x v="0"/>
    <n v="174.9"/>
  </r>
  <r>
    <x v="1"/>
    <x v="0"/>
    <x v="1"/>
    <n v="172.5"/>
  </r>
  <r>
    <x v="2"/>
    <x v="0"/>
    <x v="1"/>
    <n v="179.4"/>
  </r>
  <r>
    <x v="3"/>
    <x v="0"/>
    <x v="1"/>
    <n v="175"/>
  </r>
  <r>
    <x v="1"/>
    <x v="0"/>
    <x v="2"/>
    <n v="173.9"/>
  </r>
  <r>
    <x v="2"/>
    <x v="0"/>
    <x v="2"/>
    <n v="180.4"/>
  </r>
  <r>
    <x v="3"/>
    <x v="0"/>
    <x v="2"/>
    <n v="176.3"/>
  </r>
  <r>
    <x v="1"/>
    <x v="0"/>
    <x v="3"/>
    <n v="175.5"/>
  </r>
  <r>
    <x v="2"/>
    <x v="0"/>
    <x v="3"/>
    <n v="181.8"/>
  </r>
  <r>
    <x v="3"/>
    <x v="0"/>
    <x v="3"/>
    <n v="177.8"/>
  </r>
  <r>
    <x v="1"/>
    <x v="0"/>
    <x v="4"/>
    <n v="177.4"/>
  </r>
  <r>
    <x v="2"/>
    <x v="0"/>
    <x v="4"/>
    <n v="183.3"/>
  </r>
  <r>
    <x v="3"/>
    <x v="0"/>
    <x v="4"/>
    <n v="179.6"/>
  </r>
  <r>
    <x v="1"/>
    <x v="0"/>
    <x v="5"/>
    <n v="176.6"/>
  </r>
  <r>
    <x v="2"/>
    <x v="0"/>
    <x v="5"/>
    <n v="181.3"/>
  </r>
  <r>
    <x v="3"/>
    <x v="0"/>
    <x v="5"/>
    <n v="178.3"/>
  </r>
  <r>
    <x v="1"/>
    <x v="0"/>
    <x v="6"/>
    <n v="174.4"/>
  </r>
  <r>
    <x v="2"/>
    <x v="0"/>
    <x v="6"/>
    <n v="178.6"/>
  </r>
  <r>
    <x v="3"/>
    <x v="0"/>
    <x v="6"/>
    <n v="175.9"/>
  </r>
  <r>
    <x v="1"/>
    <x v="2"/>
    <x v="8"/>
    <n v="175"/>
  </r>
  <r>
    <x v="2"/>
    <x v="2"/>
    <x v="8"/>
    <n v="179.5"/>
  </r>
  <r>
    <x v="3"/>
    <x v="2"/>
    <x v="8"/>
    <n v="176.7"/>
  </r>
  <r>
    <x v="1"/>
    <x v="2"/>
    <x v="9"/>
    <n v="174.8"/>
  </r>
  <r>
    <x v="2"/>
    <x v="2"/>
    <x v="9"/>
    <n v="180.7"/>
  </r>
  <r>
    <x v="3"/>
    <x v="2"/>
    <x v="9"/>
    <n v="177"/>
  </r>
  <r>
    <x v="1"/>
    <x v="2"/>
    <x v="10"/>
    <n v="174.8"/>
  </r>
  <r>
    <x v="2"/>
    <x v="2"/>
    <x v="10"/>
    <n v="180.8"/>
  </r>
  <r>
    <x v="3"/>
    <x v="2"/>
    <x v="10"/>
    <n v="177"/>
  </r>
  <r>
    <x v="1"/>
    <x v="2"/>
    <x v="11"/>
    <n v="175.5"/>
  </r>
  <r>
    <x v="2"/>
    <x v="2"/>
    <x v="11"/>
    <n v="182.1"/>
  </r>
  <r>
    <x v="3"/>
    <x v="2"/>
    <x v="11"/>
    <n v="177.9"/>
  </r>
  <r>
    <x v="1"/>
    <x v="2"/>
    <x v="12"/>
    <n v="176.8"/>
  </r>
  <r>
    <x v="2"/>
    <x v="2"/>
    <x v="12"/>
    <n v="183.1"/>
  </r>
  <r>
    <x v="3"/>
    <x v="2"/>
    <x v="12"/>
    <n v="179.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153.80000000000001"/>
    <n v="217.2"/>
    <n v="169.6"/>
    <n v="165.4"/>
    <n v="208.1"/>
    <n v="165.8"/>
    <n v="167.3"/>
    <n v="164.6"/>
    <n v="119.1"/>
    <n v="188.9"/>
    <n v="174.2"/>
    <n v="181.9"/>
  </r>
  <r>
    <x v="1"/>
    <x v="0"/>
    <x v="0"/>
    <n v="157.5"/>
    <n v="223.4"/>
    <n v="172.8"/>
    <n v="166.4"/>
    <n v="188.6"/>
    <n v="174.1"/>
    <n v="211.5"/>
    <n v="163.6"/>
    <n v="121.4"/>
    <n v="183.5"/>
    <n v="159.1"/>
    <n v="186.3"/>
  </r>
  <r>
    <x v="2"/>
    <x v="0"/>
    <x v="0"/>
    <n v="155"/>
    <n v="219.4"/>
    <n v="170.8"/>
    <n v="165.8"/>
    <n v="200.9"/>
    <n v="169.7"/>
    <n v="182.3"/>
    <n v="164.3"/>
    <n v="119.9"/>
    <n v="187.1"/>
    <n v="167.9"/>
    <n v="183.9"/>
  </r>
  <r>
    <x v="0"/>
    <x v="0"/>
    <x v="1"/>
    <n v="155.19999999999999"/>
    <n v="210.8"/>
    <n v="174.3"/>
    <n v="166.3"/>
    <n v="202.2"/>
    <n v="169.6"/>
    <n v="168.6"/>
    <n v="164.4"/>
    <n v="119.2"/>
    <n v="191.8"/>
    <n v="174.5"/>
    <n v="183.1"/>
  </r>
  <r>
    <x v="1"/>
    <x v="0"/>
    <x v="1"/>
    <n v="159.30000000000001"/>
    <n v="217.1"/>
    <n v="176.6"/>
    <n v="167.1"/>
    <n v="184.8"/>
    <n v="179.5"/>
    <n v="208.5"/>
    <n v="164"/>
    <n v="121.5"/>
    <n v="186.3"/>
    <n v="159.80000000000001"/>
    <n v="187.7"/>
  </r>
  <r>
    <x v="2"/>
    <x v="0"/>
    <x v="1"/>
    <n v="156.5"/>
    <n v="213"/>
    <n v="175.2"/>
    <n v="166.6"/>
    <n v="195.8"/>
    <n v="174.2"/>
    <n v="182.1"/>
    <n v="164.3"/>
    <n v="120"/>
    <n v="190"/>
    <n v="168.4"/>
    <n v="185.2"/>
  </r>
  <r>
    <x v="0"/>
    <x v="0"/>
    <x v="2"/>
    <n v="159.5"/>
    <n v="204.1"/>
    <n v="168.3"/>
    <n v="167.9"/>
    <n v="198.1"/>
    <n v="169.2"/>
    <n v="173.1"/>
    <n v="167.1"/>
    <n v="120.2"/>
    <n v="195.6"/>
    <n v="174.8"/>
    <n v="184"/>
  </r>
  <r>
    <x v="1"/>
    <x v="0"/>
    <x v="2"/>
    <n v="162.1"/>
    <n v="210.9"/>
    <n v="170.6"/>
    <n v="168.4"/>
    <n v="182.5"/>
    <n v="177.1"/>
    <n v="213.1"/>
    <n v="167.3"/>
    <n v="122.2"/>
    <n v="189.7"/>
    <n v="160.5"/>
    <n v="188.9"/>
  </r>
  <r>
    <x v="2"/>
    <x v="0"/>
    <x v="2"/>
    <n v="160.30000000000001"/>
    <n v="206.5"/>
    <n v="169.2"/>
    <n v="168.1"/>
    <n v="192.4"/>
    <n v="172.9"/>
    <n v="186.7"/>
    <n v="167.2"/>
    <n v="120.9"/>
    <n v="193.6"/>
    <n v="168.8"/>
    <n v="186.3"/>
  </r>
  <r>
    <x v="0"/>
    <x v="0"/>
    <x v="3"/>
    <n v="162.9"/>
    <n v="206.7"/>
    <n v="169"/>
    <n v="169.5"/>
    <n v="194.1"/>
    <n v="164.1"/>
    <n v="176.9"/>
    <n v="169"/>
    <n v="120.8"/>
    <n v="199.1"/>
    <n v="175.4"/>
    <n v="184.8"/>
  </r>
  <r>
    <x v="1"/>
    <x v="0"/>
    <x v="3"/>
    <n v="164.9"/>
    <n v="213.7"/>
    <n v="170.9"/>
    <n v="170.1"/>
    <n v="179.3"/>
    <n v="167.5"/>
    <n v="220.8"/>
    <n v="169.2"/>
    <n v="123.1"/>
    <n v="193.6"/>
    <n v="161.1"/>
    <n v="190.4"/>
  </r>
  <r>
    <x v="2"/>
    <x v="0"/>
    <x v="3"/>
    <n v="163.5"/>
    <n v="209.2"/>
    <n v="169.7"/>
    <n v="169.7"/>
    <n v="188.7"/>
    <n v="165.7"/>
    <n v="191.8"/>
    <n v="169.1"/>
    <n v="121.6"/>
    <n v="197.3"/>
    <n v="169.4"/>
    <n v="187.4"/>
  </r>
  <r>
    <x v="0"/>
    <x v="0"/>
    <x v="4"/>
    <n v="164.7"/>
    <n v="208.8"/>
    <n v="170.3"/>
    <n v="170.9"/>
    <n v="191.6"/>
    <n v="162.19999999999999"/>
    <n v="184.8"/>
    <n v="169.7"/>
    <n v="121.1"/>
    <n v="201.6"/>
    <n v="175.8"/>
    <n v="185.6"/>
  </r>
  <r>
    <x v="1"/>
    <x v="0"/>
    <x v="4"/>
    <n v="166.4"/>
    <n v="214.9"/>
    <n v="171.9"/>
    <n v="171"/>
    <n v="177.7"/>
    <n v="165.7"/>
    <n v="228.6"/>
    <n v="169.9"/>
    <n v="123.4"/>
    <n v="196.4"/>
    <n v="161.6"/>
    <n v="191.5"/>
  </r>
  <r>
    <x v="2"/>
    <x v="0"/>
    <x v="4"/>
    <n v="165.2"/>
    <n v="210.9"/>
    <n v="170.9"/>
    <n v="170.9"/>
    <n v="186.5"/>
    <n v="163.80000000000001"/>
    <n v="199.7"/>
    <n v="169.8"/>
    <n v="121.9"/>
    <n v="199.9"/>
    <n v="169.9"/>
    <n v="188.3"/>
  </r>
  <r>
    <x v="0"/>
    <x v="0"/>
    <x v="5"/>
    <n v="166.9"/>
    <n v="207.2"/>
    <n v="180.2"/>
    <n v="172.3"/>
    <n v="194"/>
    <n v="159.1"/>
    <n v="171.6"/>
    <n v="170.2"/>
    <n v="121.5"/>
    <n v="204.8"/>
    <n v="176.4"/>
    <n v="186.9"/>
  </r>
  <r>
    <x v="1"/>
    <x v="0"/>
    <x v="5"/>
    <n v="168.4"/>
    <n v="213.4"/>
    <n v="183.2"/>
    <n v="172.3"/>
    <n v="180"/>
    <n v="162.6"/>
    <n v="205.5"/>
    <n v="171"/>
    <n v="123.4"/>
    <n v="198.8"/>
    <n v="162.1"/>
    <n v="192.4"/>
  </r>
  <r>
    <x v="2"/>
    <x v="0"/>
    <x v="5"/>
    <n v="167.4"/>
    <n v="209.4"/>
    <n v="181.4"/>
    <n v="172.3"/>
    <n v="188.9"/>
    <n v="160.69999999999999"/>
    <n v="183.1"/>
    <n v="170.5"/>
    <n v="122.1"/>
    <n v="202.8"/>
    <n v="170.4"/>
    <n v="189.5"/>
  </r>
  <r>
    <x v="0"/>
    <x v="0"/>
    <x v="6"/>
    <n v="168.8"/>
    <n v="206.9"/>
    <n v="189.1"/>
    <n v="173.4"/>
    <n v="193.9"/>
    <n v="156.69999999999999"/>
    <n v="150.19999999999999"/>
    <n v="170.5"/>
    <n v="121.2"/>
    <n v="207.5"/>
    <n v="176.8"/>
    <n v="187.7"/>
  </r>
  <r>
    <x v="1"/>
    <x v="0"/>
    <x v="6"/>
    <n v="170.2"/>
    <n v="212.9"/>
    <n v="191.9"/>
    <n v="173.9"/>
    <n v="179.1"/>
    <n v="159.5"/>
    <n v="178.7"/>
    <n v="171.3"/>
    <n v="123.1"/>
    <n v="200.5"/>
    <n v="162.80000000000001"/>
    <n v="193.3"/>
  </r>
  <r>
    <x v="2"/>
    <x v="0"/>
    <x v="6"/>
    <n v="169.2"/>
    <n v="209"/>
    <n v="190.2"/>
    <n v="173.6"/>
    <n v="188.5"/>
    <n v="158"/>
    <n v="159.9"/>
    <n v="170.8"/>
    <n v="121.8"/>
    <n v="205.2"/>
    <n v="171"/>
    <n v="190.3"/>
  </r>
  <r>
    <x v="0"/>
    <x v="1"/>
    <x v="7"/>
    <n v="174"/>
    <n v="208.3"/>
    <n v="192.9"/>
    <n v="174.3"/>
    <n v="192.6"/>
    <n v="156.30000000000001"/>
    <n v="142.9"/>
    <n v="170.7"/>
    <n v="120.3"/>
    <n v="210.5"/>
    <n v="176.9"/>
    <n v="188.5"/>
  </r>
  <r>
    <x v="1"/>
    <x v="1"/>
    <x v="7"/>
    <n v="173.3"/>
    <n v="215.2"/>
    <n v="197"/>
    <n v="175.2"/>
    <n v="178"/>
    <n v="160.5"/>
    <n v="175.3"/>
    <n v="171.2"/>
    <n v="122.7"/>
    <n v="204.3"/>
    <n v="163.69999999999999"/>
    <n v="194.3"/>
  </r>
  <r>
    <x v="2"/>
    <x v="1"/>
    <x v="7"/>
    <n v="173.8"/>
    <n v="210.7"/>
    <n v="194.5"/>
    <n v="174.6"/>
    <n v="187.2"/>
    <n v="158.30000000000001"/>
    <n v="153.9"/>
    <n v="170.9"/>
    <n v="121.1"/>
    <n v="208.4"/>
    <n v="171.4"/>
    <n v="191.2"/>
  </r>
  <r>
    <x v="0"/>
    <x v="1"/>
    <x v="8"/>
    <n v="174.2"/>
    <n v="205.2"/>
    <n v="173.9"/>
    <n v="177"/>
    <n v="183.4"/>
    <n v="167.2"/>
    <n v="140.9"/>
    <n v="170.4"/>
    <n v="119.1"/>
    <n v="212.1"/>
    <n v="177.6"/>
    <n v="189.9"/>
  </r>
  <r>
    <x v="1"/>
    <x v="1"/>
    <x v="8"/>
    <n v="174.7"/>
    <n v="212.2"/>
    <n v="177.2"/>
    <n v="177.9"/>
    <n v="172.2"/>
    <n v="172.1"/>
    <n v="175.8"/>
    <n v="172.2"/>
    <n v="121.9"/>
    <n v="204.8"/>
    <n v="164.9"/>
    <n v="196.6"/>
  </r>
  <r>
    <x v="2"/>
    <x v="1"/>
    <x v="8"/>
    <n v="174.4"/>
    <n v="207.7"/>
    <n v="175.2"/>
    <n v="177.3"/>
    <n v="179.3"/>
    <n v="169.5"/>
    <n v="152.69999999999999"/>
    <n v="171"/>
    <n v="120"/>
    <n v="209.7"/>
    <n v="172.3"/>
    <n v="193"/>
  </r>
  <r>
    <x v="0"/>
    <x v="1"/>
    <x v="9"/>
    <n v="174.3"/>
    <n v="205.2"/>
    <n v="173.9"/>
    <n v="177"/>
    <n v="183.3"/>
    <n v="167.2"/>
    <n v="140.9"/>
    <n v="170.5"/>
    <n v="119.1"/>
    <n v="212.1"/>
    <n v="177.6"/>
    <n v="189.9"/>
  </r>
  <r>
    <x v="1"/>
    <x v="1"/>
    <x v="9"/>
    <n v="174.7"/>
    <n v="212.2"/>
    <n v="177.2"/>
    <n v="177.9"/>
    <n v="172.2"/>
    <n v="172.1"/>
    <n v="175.9"/>
    <n v="172.2"/>
    <n v="121.9"/>
    <n v="204.8"/>
    <n v="164.9"/>
    <n v="196.6"/>
  </r>
  <r>
    <x v="2"/>
    <x v="1"/>
    <x v="9"/>
    <n v="174.4"/>
    <n v="207.7"/>
    <n v="175.2"/>
    <n v="177.3"/>
    <n v="179.2"/>
    <n v="169.5"/>
    <n v="152.80000000000001"/>
    <n v="171.1"/>
    <n v="120"/>
    <n v="209.7"/>
    <n v="172.3"/>
    <n v="193"/>
  </r>
  <r>
    <x v="0"/>
    <x v="1"/>
    <x v="10"/>
    <n v="173.3"/>
    <n v="206.9"/>
    <n v="167.9"/>
    <n v="178.2"/>
    <n v="178.5"/>
    <n v="173.7"/>
    <n v="142.80000000000001"/>
    <n v="172.8"/>
    <n v="120.4"/>
    <n v="215.5"/>
    <n v="178.2"/>
    <n v="190.5"/>
  </r>
  <r>
    <x v="1"/>
    <x v="1"/>
    <x v="10"/>
    <n v="174.8"/>
    <n v="213.7"/>
    <n v="172.4"/>
    <n v="178.8"/>
    <n v="168.7"/>
    <n v="179.2"/>
    <n v="179.9"/>
    <n v="174.7"/>
    <n v="123.1"/>
    <n v="207.8"/>
    <n v="165.5"/>
    <n v="197"/>
  </r>
  <r>
    <x v="2"/>
    <x v="1"/>
    <x v="10"/>
    <n v="173.8"/>
    <n v="209.3"/>
    <n v="169.6"/>
    <n v="178.4"/>
    <n v="174.9"/>
    <n v="176.3"/>
    <n v="155.4"/>
    <n v="173.4"/>
    <n v="121.3"/>
    <n v="212.9"/>
    <n v="172.9"/>
    <n v="193.5"/>
  </r>
  <r>
    <x v="0"/>
    <x v="1"/>
    <x v="11"/>
    <n v="173.2"/>
    <n v="211.5"/>
    <n v="171"/>
    <n v="179.6"/>
    <n v="173.3"/>
    <n v="169"/>
    <n v="148.69999999999999"/>
    <n v="174.9"/>
    <n v="121.9"/>
    <n v="221"/>
    <n v="178.7"/>
    <n v="191.1"/>
  </r>
  <r>
    <x v="1"/>
    <x v="1"/>
    <x v="11"/>
    <n v="174.7"/>
    <n v="219.4"/>
    <n v="176.7"/>
    <n v="179.4"/>
    <n v="164.4"/>
    <n v="175.8"/>
    <n v="185"/>
    <n v="176.9"/>
    <n v="124.2"/>
    <n v="211.9"/>
    <n v="165.9"/>
    <n v="197.7"/>
  </r>
  <r>
    <x v="2"/>
    <x v="1"/>
    <x v="11"/>
    <n v="173.7"/>
    <n v="214.3"/>
    <n v="173.2"/>
    <n v="179.5"/>
    <n v="170"/>
    <n v="172.2"/>
    <n v="161"/>
    <n v="175.6"/>
    <n v="122.7"/>
    <n v="218"/>
    <n v="173.4"/>
    <n v="194.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n v="130.30000000000001"/>
  </r>
  <r>
    <x v="0"/>
    <x v="0"/>
    <x v="1"/>
    <n v="137.19999999999999"/>
  </r>
  <r>
    <x v="0"/>
    <x v="1"/>
    <x v="0"/>
    <n v="136.9"/>
  </r>
  <r>
    <x v="0"/>
    <x v="1"/>
    <x v="1"/>
    <n v="140.1"/>
  </r>
  <r>
    <x v="0"/>
    <x v="2"/>
    <x v="0"/>
    <n v="139.6"/>
  </r>
  <r>
    <x v="0"/>
    <x v="2"/>
    <x v="1"/>
    <n v="150.4"/>
  </r>
  <r>
    <x v="0"/>
    <x v="3"/>
    <x v="0"/>
    <n v="150.19999999999999"/>
  </r>
  <r>
    <x v="0"/>
    <x v="3"/>
    <x v="1"/>
    <n v="158.9"/>
  </r>
  <r>
    <x v="0"/>
    <x v="4"/>
    <x v="0"/>
    <n v="157.30000000000001"/>
  </r>
  <r>
    <x v="0"/>
    <x v="4"/>
    <x v="1"/>
    <n v="166.2"/>
  </r>
  <r>
    <x v="0"/>
    <x v="5"/>
    <x v="0"/>
    <n v="165.7"/>
  </r>
  <r>
    <x v="0"/>
    <x v="5"/>
    <x v="1"/>
    <n v="175.7"/>
  </r>
  <r>
    <x v="0"/>
    <x v="6"/>
    <x v="0"/>
    <n v="176.5"/>
  </r>
  <r>
    <x v="0"/>
    <x v="6"/>
    <x v="2"/>
    <n v="179.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0"/>
    <x v="0"/>
    <x v="0"/>
    <m/>
    <m/>
    <m/>
    <m/>
  </r>
  <r>
    <x v="1"/>
    <x v="1"/>
    <x v="1"/>
    <n v="139.19999999999999"/>
    <n v="146.9"/>
    <n v="151.30000000000001"/>
    <n v="142.9"/>
  </r>
  <r>
    <x v="2"/>
    <x v="1"/>
    <x v="1"/>
    <n v="143.80000000000001"/>
    <n v="129.4"/>
    <n v="139.80000000000001"/>
    <n v="133.30000000000001"/>
  </r>
  <r>
    <x v="3"/>
    <x v="1"/>
    <x v="1"/>
    <n v="140.9"/>
    <n v="140.30000000000001"/>
    <n v="146.9"/>
    <n v="138.19999999999999"/>
  </r>
  <r>
    <x v="1"/>
    <x v="1"/>
    <x v="2"/>
    <n v="141"/>
    <n v="147.80000000000001"/>
    <n v="151.69999999999999"/>
    <n v="143.30000000000001"/>
  </r>
  <r>
    <x v="2"/>
    <x v="1"/>
    <x v="2"/>
    <n v="145.6"/>
    <n v="130.5"/>
    <n v="140.30000000000001"/>
    <n v="133.6"/>
  </r>
  <r>
    <x v="3"/>
    <x v="1"/>
    <x v="2"/>
    <n v="142.69999999999999"/>
    <n v="141.19999999999999"/>
    <n v="147.4"/>
    <n v="138.6"/>
  </r>
  <r>
    <x v="1"/>
    <x v="1"/>
    <x v="3"/>
    <n v="143"/>
    <n v="146.80000000000001"/>
    <n v="152.19999999999999"/>
    <n v="144.19999999999999"/>
  </r>
  <r>
    <x v="2"/>
    <x v="1"/>
    <x v="3"/>
    <n v="147.69999999999999"/>
    <n v="127"/>
    <n v="140.80000000000001"/>
    <n v="134.5"/>
  </r>
  <r>
    <x v="3"/>
    <x v="1"/>
    <x v="3"/>
    <n v="144.69999999999999"/>
    <n v="139.30000000000001"/>
    <n v="147.9"/>
    <n v="139.5"/>
  </r>
  <r>
    <x v="1"/>
    <x v="1"/>
    <x v="4"/>
    <n v="144"/>
    <n v="146.4"/>
    <n v="152.69999999999999"/>
    <n v="144.9"/>
  </r>
  <r>
    <x v="2"/>
    <x v="1"/>
    <x v="4"/>
    <n v="149.1"/>
    <n v="125.5"/>
    <n v="141.5"/>
    <n v="135.30000000000001"/>
  </r>
  <r>
    <x v="3"/>
    <x v="1"/>
    <x v="4"/>
    <n v="145.9"/>
    <n v="138.5"/>
    <n v="148.5"/>
    <n v="140.19999999999999"/>
  </r>
  <r>
    <x v="1"/>
    <x v="1"/>
    <x v="5"/>
    <n v="145.5"/>
    <n v="146.9"/>
    <n v="153.4"/>
    <n v="145.4"/>
  </r>
  <r>
    <x v="2"/>
    <x v="1"/>
    <x v="5"/>
    <n v="149.5"/>
    <n v="126.6"/>
    <n v="141.9"/>
    <n v="135.69999999999999"/>
  </r>
  <r>
    <x v="3"/>
    <x v="1"/>
    <x v="5"/>
    <n v="147"/>
    <n v="139.19999999999999"/>
    <n v="149"/>
    <n v="140.69999999999999"/>
  </r>
  <r>
    <x v="1"/>
    <x v="1"/>
    <x v="6"/>
    <n v="148.30000000000001"/>
    <n v="147.69999999999999"/>
    <n v="153.69999999999999"/>
    <n v="145.69999999999999"/>
  </r>
  <r>
    <x v="2"/>
    <x v="1"/>
    <x v="6"/>
    <n v="151.9"/>
    <n v="128.9"/>
    <n v="142.4"/>
    <n v="136"/>
  </r>
  <r>
    <x v="3"/>
    <x v="1"/>
    <x v="6"/>
    <n v="149.6"/>
    <n v="140.6"/>
    <n v="149.4"/>
    <n v="141"/>
  </r>
  <r>
    <x v="1"/>
    <x v="1"/>
    <x v="7"/>
    <n v="150.9"/>
    <n v="148.4"/>
    <n v="154.30000000000001"/>
    <n v="146.1"/>
  </r>
  <r>
    <x v="2"/>
    <x v="1"/>
    <x v="7"/>
    <n v="153.6"/>
    <n v="132.19999999999999"/>
    <n v="142.80000000000001"/>
    <n v="136.30000000000001"/>
  </r>
  <r>
    <x v="3"/>
    <x v="1"/>
    <x v="7"/>
    <n v="151.9"/>
    <n v="142.30000000000001"/>
    <n v="149.9"/>
    <n v="141.30000000000001"/>
  </r>
  <r>
    <x v="1"/>
    <x v="1"/>
    <x v="8"/>
    <n v="154.30000000000001"/>
    <n v="149.9"/>
    <n v="154.80000000000001"/>
    <n v="147.1"/>
  </r>
  <r>
    <x v="2"/>
    <x v="1"/>
    <x v="8"/>
    <n v="156.30000000000001"/>
    <n v="133.6"/>
    <n v="143.19999999999999"/>
    <n v="137.69999999999999"/>
  </r>
  <r>
    <x v="3"/>
    <x v="1"/>
    <x v="8"/>
    <n v="155"/>
    <n v="143.69999999999999"/>
    <n v="150.4"/>
    <n v="142.5"/>
  </r>
  <r>
    <x v="1"/>
    <x v="2"/>
    <x v="9"/>
    <n v="153"/>
    <n v="150.4"/>
    <n v="155.69999999999999"/>
    <n v="148.1"/>
  </r>
  <r>
    <x v="2"/>
    <x v="2"/>
    <x v="9"/>
    <n v="154.4"/>
    <n v="135.1"/>
    <n v="143.80000000000001"/>
    <n v="138.4"/>
  </r>
  <r>
    <x v="3"/>
    <x v="2"/>
    <x v="9"/>
    <n v="153.5"/>
    <n v="144.6"/>
    <n v="151.19999999999999"/>
    <n v="143.4"/>
  </r>
  <r>
    <x v="1"/>
    <x v="2"/>
    <x v="10"/>
    <n v="149.80000000000001"/>
    <n v="152.30000000000001"/>
    <n v="156.19999999999999"/>
    <n v="148.4"/>
  </r>
  <r>
    <x v="2"/>
    <x v="2"/>
    <x v="10"/>
    <n v="151.69999999999999"/>
    <n v="138.9"/>
    <n v="144.4"/>
    <n v="138.4"/>
  </r>
  <r>
    <x v="3"/>
    <x v="2"/>
    <x v="10"/>
    <n v="150.5"/>
    <n v="147.19999999999999"/>
    <n v="151.69999999999999"/>
    <n v="143.6"/>
  </r>
  <r>
    <x v="1"/>
    <x v="2"/>
    <x v="11"/>
    <n v="148.19999999999999"/>
    <n v="153.4"/>
    <n v="156.69999999999999"/>
    <n v="148.6"/>
  </r>
  <r>
    <x v="2"/>
    <x v="2"/>
    <x v="11"/>
    <n v="150.1"/>
    <n v="141.4"/>
    <n v="145"/>
    <n v="138.69999999999999"/>
  </r>
  <r>
    <x v="3"/>
    <x v="2"/>
    <x v="11"/>
    <n v="148.9"/>
    <n v="148.9"/>
    <n v="152.30000000000001"/>
    <n v="143.8000000000000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0"/>
    <x v="0"/>
    <x v="0"/>
    <x v="0"/>
    <x v="0"/>
    <x v="0"/>
    <m/>
  </r>
  <r>
    <x v="1"/>
    <x v="1"/>
    <x v="1"/>
    <x v="1"/>
    <x v="1"/>
    <x v="1"/>
    <s v="NA"/>
  </r>
  <r>
    <x v="2"/>
    <x v="1"/>
    <x v="1"/>
    <x v="2"/>
    <x v="2"/>
    <x v="2"/>
    <s v="NA"/>
  </r>
  <r>
    <x v="3"/>
    <x v="1"/>
    <x v="1"/>
    <x v="3"/>
    <x v="3"/>
    <x v="3"/>
    <s v="NA"/>
  </r>
  <r>
    <x v="1"/>
    <x v="1"/>
    <x v="2"/>
    <x v="4"/>
    <x v="4"/>
    <x v="4"/>
    <s v="NA"/>
  </r>
  <r>
    <x v="2"/>
    <x v="1"/>
    <x v="2"/>
    <x v="4"/>
    <x v="4"/>
    <x v="4"/>
    <s v="NA"/>
  </r>
  <r>
    <x v="3"/>
    <x v="1"/>
    <x v="2"/>
    <x v="4"/>
    <x v="4"/>
    <x v="4"/>
    <s v="NA"/>
  </r>
  <r>
    <x v="1"/>
    <x v="1"/>
    <x v="3"/>
    <x v="5"/>
    <x v="5"/>
    <x v="5"/>
    <n v="151.69999999999999"/>
  </r>
  <r>
    <x v="2"/>
    <x v="1"/>
    <x v="3"/>
    <x v="6"/>
    <x v="2"/>
    <x v="6"/>
    <n v="142"/>
  </r>
  <r>
    <x v="3"/>
    <x v="1"/>
    <x v="3"/>
    <x v="7"/>
    <x v="6"/>
    <x v="7"/>
    <n v="147"/>
  </r>
  <r>
    <x v="1"/>
    <x v="1"/>
    <x v="4"/>
    <x v="5"/>
    <x v="5"/>
    <x v="5"/>
    <n v="151.69999999999999"/>
  </r>
  <r>
    <x v="2"/>
    <x v="1"/>
    <x v="4"/>
    <x v="6"/>
    <x v="2"/>
    <x v="6"/>
    <n v="142"/>
  </r>
  <r>
    <x v="3"/>
    <x v="1"/>
    <x v="4"/>
    <x v="7"/>
    <x v="6"/>
    <x v="7"/>
    <n v="147"/>
  </r>
  <r>
    <x v="1"/>
    <x v="1"/>
    <x v="5"/>
    <x v="8"/>
    <x v="7"/>
    <x v="8"/>
    <n v="153"/>
  </r>
  <r>
    <x v="2"/>
    <x v="1"/>
    <x v="5"/>
    <x v="9"/>
    <x v="8"/>
    <x v="9"/>
    <n v="144.80000000000001"/>
  </r>
  <r>
    <x v="3"/>
    <x v="1"/>
    <x v="5"/>
    <x v="6"/>
    <x v="9"/>
    <x v="10"/>
    <n v="149"/>
  </r>
  <r>
    <x v="1"/>
    <x v="1"/>
    <x v="6"/>
    <x v="10"/>
    <x v="10"/>
    <x v="11"/>
    <n v="153.69999999999999"/>
  </r>
  <r>
    <x v="2"/>
    <x v="1"/>
    <x v="6"/>
    <x v="11"/>
    <x v="11"/>
    <x v="12"/>
    <n v="146"/>
  </r>
  <r>
    <x v="3"/>
    <x v="1"/>
    <x v="6"/>
    <x v="12"/>
    <x v="12"/>
    <x v="13"/>
    <n v="150"/>
  </r>
  <r>
    <x v="1"/>
    <x v="1"/>
    <x v="7"/>
    <x v="13"/>
    <x v="13"/>
    <x v="14"/>
    <n v="154.30000000000001"/>
  </r>
  <r>
    <x v="2"/>
    <x v="1"/>
    <x v="7"/>
    <x v="14"/>
    <x v="2"/>
    <x v="15"/>
    <n v="146.19999999999999"/>
  </r>
  <r>
    <x v="3"/>
    <x v="1"/>
    <x v="7"/>
    <x v="15"/>
    <x v="14"/>
    <x v="16"/>
    <n v="150.4"/>
  </r>
  <r>
    <x v="1"/>
    <x v="1"/>
    <x v="8"/>
    <x v="16"/>
    <x v="15"/>
    <x v="17"/>
    <n v="154.5"/>
  </r>
  <r>
    <x v="2"/>
    <x v="1"/>
    <x v="8"/>
    <x v="17"/>
    <x v="16"/>
    <x v="18"/>
    <n v="146.6"/>
  </r>
  <r>
    <x v="3"/>
    <x v="1"/>
    <x v="8"/>
    <x v="18"/>
    <x v="17"/>
    <x v="19"/>
    <n v="150.69999999999999"/>
  </r>
  <r>
    <x v="1"/>
    <x v="1"/>
    <x v="9"/>
    <x v="19"/>
    <x v="18"/>
    <x v="20"/>
    <n v="155.19999999999999"/>
  </r>
  <r>
    <x v="2"/>
    <x v="1"/>
    <x v="9"/>
    <x v="17"/>
    <x v="19"/>
    <x v="21"/>
    <n v="146.9"/>
  </r>
  <r>
    <x v="3"/>
    <x v="1"/>
    <x v="9"/>
    <x v="20"/>
    <x v="20"/>
    <x v="22"/>
    <n v="151.19999999999999"/>
  </r>
  <r>
    <x v="1"/>
    <x v="2"/>
    <x v="10"/>
    <x v="13"/>
    <x v="21"/>
    <x v="23"/>
    <n v="155.9"/>
  </r>
  <r>
    <x v="2"/>
    <x v="2"/>
    <x v="10"/>
    <x v="16"/>
    <x v="12"/>
    <x v="24"/>
    <n v="147.6"/>
  </r>
  <r>
    <x v="3"/>
    <x v="2"/>
    <x v="10"/>
    <x v="21"/>
    <x v="22"/>
    <x v="25"/>
    <n v="151.9"/>
  </r>
  <r>
    <x v="1"/>
    <x v="2"/>
    <x v="11"/>
    <x v="22"/>
    <x v="23"/>
    <x v="26"/>
    <n v="157.19999999999999"/>
  </r>
  <r>
    <x v="2"/>
    <x v="2"/>
    <x v="11"/>
    <x v="23"/>
    <x v="24"/>
    <x v="16"/>
    <n v="149.30000000000001"/>
  </r>
  <r>
    <x v="3"/>
    <x v="2"/>
    <x v="11"/>
    <x v="24"/>
    <x v="25"/>
    <x v="27"/>
    <n v="153.4"/>
  </r>
  <r>
    <x v="1"/>
    <x v="2"/>
    <x v="12"/>
    <x v="25"/>
    <x v="26"/>
    <x v="28"/>
    <n v="157.30000000000001"/>
  </r>
  <r>
    <x v="2"/>
    <x v="2"/>
    <x v="12"/>
    <x v="26"/>
    <x v="27"/>
    <x v="29"/>
    <n v="150"/>
  </r>
  <r>
    <x v="3"/>
    <x v="2"/>
    <x v="12"/>
    <x v="27"/>
    <x v="28"/>
    <x v="30"/>
    <n v="153.8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F1E35-17D6-4678-9CFE-29FDEA8B163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:F7" firstHeaderRow="0" firstDataRow="1" firstDataCol="0" rowPageCount="3" colPageCount="1"/>
  <pivotFields count="30">
    <pivotField axis="axisPage" multipleItemSelectionAllowed="1" showAll="0" sortType="descending">
      <items count="4">
        <item x="0"/>
        <item h="1" x="2"/>
        <item h="1" x="1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Page" multipleItemSelectionAllowed="1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>
      <items count="117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3"/>
        <item x="81"/>
        <item x="84"/>
        <item x="85"/>
        <item x="86"/>
        <item x="89"/>
        <item x="87"/>
        <item x="88"/>
        <item x="90"/>
        <item x="91"/>
        <item x="94"/>
        <item x="92"/>
        <item x="95"/>
        <item x="93"/>
        <item x="96"/>
        <item x="99"/>
        <item x="97"/>
        <item x="98"/>
        <item x="100"/>
        <item x="102"/>
        <item x="101"/>
        <item x="105"/>
        <item x="103"/>
        <item x="104"/>
        <item x="106"/>
        <item x="107"/>
        <item x="108"/>
        <item x="111"/>
        <item x="109"/>
        <item x="110"/>
        <item x="112"/>
        <item x="113"/>
        <item x="114"/>
        <item x="115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2" hier="-1"/>
    <pageField fld="0" hier="-1"/>
  </pageFields>
  <dataFields count="6">
    <dataField name="Sum of Food and beverages" fld="15" baseField="0" baseItem="0"/>
    <dataField name="Sum of Pan, tobacco and intoxicants" fld="16" baseField="0" baseItem="0"/>
    <dataField name="Sum of Clothing and footwear" fld="19" baseField="0" baseItem="0"/>
    <dataField name="Sum of Fuel and light" fld="21" baseField="0" baseItem="0"/>
    <dataField name="Sum of Miscellaneous" fld="28" baseField="0" baseItem="0"/>
    <dataField name="Sum of Housing" fld="20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92AFC-AC60-47D3-B27C-D30E53D6FE3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F25" firstHeaderRow="0" firstDataRow="1" firstDataCol="0" rowPageCount="3" colPageCount="1"/>
  <pivotFields count="30">
    <pivotField axis="axisPage" multipleItemSelectionAllowed="1" showAll="0" sortType="descending">
      <items count="4">
        <item h="1" x="0"/>
        <item x="2"/>
        <item h="1" x="1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Page" multipleItemSelectionAllowed="1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>
      <items count="117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3"/>
        <item x="81"/>
        <item x="84"/>
        <item x="85"/>
        <item x="86"/>
        <item x="89"/>
        <item x="87"/>
        <item x="88"/>
        <item x="90"/>
        <item x="91"/>
        <item x="94"/>
        <item x="92"/>
        <item x="95"/>
        <item x="93"/>
        <item x="96"/>
        <item x="99"/>
        <item x="97"/>
        <item x="98"/>
        <item x="100"/>
        <item x="102"/>
        <item x="101"/>
        <item x="105"/>
        <item x="103"/>
        <item x="104"/>
        <item x="106"/>
        <item x="107"/>
        <item x="108"/>
        <item x="111"/>
        <item x="109"/>
        <item x="110"/>
        <item x="112"/>
        <item x="113"/>
        <item x="114"/>
        <item x="115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2" hier="-1"/>
    <pageField fld="0" hier="-1"/>
  </pageFields>
  <dataFields count="6">
    <dataField name="Sum of Food and beverages" fld="15" baseField="0" baseItem="0"/>
    <dataField name="Sum of Pan, tobacco and intoxicants" fld="16" baseField="0" baseItem="0"/>
    <dataField name="Sum of Clothing and footwear" fld="19" baseField="0" baseItem="0"/>
    <dataField name="Sum of Fuel and light" fld="21" baseField="0" baseItem="0"/>
    <dataField name="Sum of Miscellaneous" fld="28" baseField="0" baseItem="0"/>
    <dataField name="Sum of Housing" fld="2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C845D-9AAF-47E1-81BF-37EDA815754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F16" firstHeaderRow="0" firstDataRow="1" firstDataCol="0" rowPageCount="3" colPageCount="1"/>
  <pivotFields count="30">
    <pivotField axis="axisPage" multipleItemSelectionAllowed="1" showAll="0" sortType="descending">
      <items count="4">
        <item h="1" x="0"/>
        <item h="1" x="2"/>
        <item x="1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Page" multipleItemSelectionAllowed="1" showAll="0">
      <items count="13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>
      <items count="117"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21"/>
        <item x="19"/>
        <item x="20"/>
        <item x="22"/>
        <item x="23"/>
        <item x="24"/>
        <item x="27"/>
        <item x="25"/>
        <item x="26"/>
        <item x="28"/>
        <item x="29"/>
        <item x="30"/>
        <item x="31"/>
        <item x="32"/>
        <item x="33"/>
        <item x="34"/>
        <item x="35"/>
        <item x="38"/>
        <item x="36"/>
        <item x="37"/>
        <item x="39"/>
        <item x="40"/>
        <item x="41"/>
        <item x="44"/>
        <item x="42"/>
        <item x="43"/>
        <item x="45"/>
        <item x="46"/>
        <item x="47"/>
        <item x="50"/>
        <item x="48"/>
        <item x="49"/>
        <item x="51"/>
        <item x="52"/>
        <item x="53"/>
        <item x="54"/>
        <item x="55"/>
        <item x="56"/>
        <item x="57"/>
        <item x="58"/>
        <item x="59"/>
        <item x="62"/>
        <item x="60"/>
        <item x="61"/>
        <item x="63"/>
        <item x="64"/>
        <item x="65"/>
        <item x="66"/>
        <item x="68"/>
        <item x="67"/>
        <item x="69"/>
        <item x="70"/>
        <item x="71"/>
        <item x="73"/>
        <item x="72"/>
        <item x="74"/>
        <item x="75"/>
        <item x="76"/>
        <item x="79"/>
        <item x="77"/>
        <item x="78"/>
        <item x="80"/>
        <item x="82"/>
        <item x="83"/>
        <item x="81"/>
        <item x="84"/>
        <item x="85"/>
        <item x="86"/>
        <item x="89"/>
        <item x="87"/>
        <item x="88"/>
        <item x="90"/>
        <item x="91"/>
        <item x="94"/>
        <item x="92"/>
        <item x="95"/>
        <item x="93"/>
        <item x="96"/>
        <item x="99"/>
        <item x="97"/>
        <item x="98"/>
        <item x="100"/>
        <item x="102"/>
        <item x="101"/>
        <item x="105"/>
        <item x="103"/>
        <item x="104"/>
        <item x="106"/>
        <item x="107"/>
        <item x="108"/>
        <item x="111"/>
        <item x="109"/>
        <item x="110"/>
        <item x="112"/>
        <item x="113"/>
        <item x="114"/>
        <item x="115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2" hier="-1"/>
    <pageField fld="0" hier="-1"/>
  </pageFields>
  <dataFields count="6">
    <dataField name="Sum of Food and beverages" fld="15" baseField="0" baseItem="0"/>
    <dataField name="Sum of Pan, tobacco and intoxicants" fld="16" baseField="0" baseItem="0"/>
    <dataField name="Sum of Clothing and footwear" fld="19" baseField="0" baseItem="0"/>
    <dataField name="Sum of Fuel and light" fld="21" baseField="0" baseItem="0"/>
    <dataField name="Sum of Miscellaneous" fld="28" baseField="0" baseItem="0"/>
    <dataField name="Sum of Housing" fld="2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A2A1B-007F-4B1C-BC1A-265F8ABA8BB8}" name="PivotTable4" cacheId="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9">
  <location ref="A2:B24" firstHeaderRow="1" firstDataRow="1" firstDataCol="1"/>
  <pivotFields count="4">
    <pivotField axis="axisRow" showAll="0">
      <items count="2"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</pivotFields>
  <rowFields count="3">
    <field x="0"/>
    <field x="1"/>
    <field x="2"/>
  </rowFields>
  <rowItems count="22">
    <i>
      <x/>
    </i>
    <i r="1">
      <x/>
    </i>
    <i r="2">
      <x/>
    </i>
    <i r="2">
      <x v="2"/>
    </i>
    <i r="1">
      <x v="1"/>
    </i>
    <i r="2">
      <x/>
    </i>
    <i r="2">
      <x v="2"/>
    </i>
    <i r="1">
      <x v="2"/>
    </i>
    <i r="2">
      <x/>
    </i>
    <i r="2">
      <x v="2"/>
    </i>
    <i r="1">
      <x v="3"/>
    </i>
    <i r="2">
      <x/>
    </i>
    <i r="2">
      <x v="2"/>
    </i>
    <i r="1">
      <x v="4"/>
    </i>
    <i r="2">
      <x/>
    </i>
    <i r="2">
      <x v="2"/>
    </i>
    <i r="1">
      <x v="5"/>
    </i>
    <i r="2">
      <x/>
    </i>
    <i r="2">
      <x v="2"/>
    </i>
    <i r="1">
      <x v="6"/>
    </i>
    <i r="2">
      <x/>
    </i>
    <i r="2">
      <x v="1"/>
    </i>
  </rowItems>
  <colItems count="1">
    <i/>
  </colItems>
  <dataFields count="1">
    <dataField name="% of General index " fld="3" showDataAs="percentDiff" baseField="2" baseItem="1048828" numFmtId="10"/>
  </dataFields>
  <chartFormats count="1"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D0237-E19E-4D12-B4B9-F7AEB0290743}" name="PivotTable26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9:B53" firstHeaderRow="1" firstDataRow="1" firstDataCol="1" rowPageCount="1" colPageCount="1"/>
  <pivotFields count="4">
    <pivotField axis="axisPage" multipleItemSelectionAllowed="1" showAll="0">
      <items count="5">
        <item h="1" x="1"/>
        <item x="3"/>
        <item h="1" x="2"/>
        <item h="1" x="0"/>
        <item t="default"/>
      </items>
    </pivotField>
    <pivotField axis="axisRow" showAll="0" defaultSubtotal="0">
      <items count="3">
        <item x="0"/>
        <item x="2"/>
        <item x="1"/>
      </items>
    </pivotField>
    <pivotField axis="axisRow" showAll="0">
      <items count="14">
        <item x="8"/>
        <item x="9"/>
        <item x="10"/>
        <item x="11"/>
        <item x="12"/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Items count="1">
    <i/>
  </colItems>
  <pageFields count="1">
    <pageField fld="0" hier="-1"/>
  </pageFields>
  <dataFields count="1">
    <dataField name="Sum of Food and beverag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0AD41-F8C1-43B6-865E-9D2985BABC28}" name="PivotTable17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98:M112" firstHeaderRow="0" firstDataRow="1" firstDataCol="1" rowPageCount="1" colPageCount="1"/>
  <pivotFields count="15">
    <pivotField axis="axisPage" multipleItemSelectionAllowed="1" showAll="0">
      <items count="4">
        <item h="1" x="0"/>
        <item x="2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0" hier="-1"/>
  </pageFields>
  <dataFields count="12">
    <dataField name="Sum of Cereals and products" fld="3" showDataAs="percentDiff" baseField="2" baseItem="1048828" numFmtId="10"/>
    <dataField name="Sum of Meat and fish" fld="4" showDataAs="percentDiff" baseField="2" baseItem="1048828" numFmtId="10"/>
    <dataField name="Sum of Egg" fld="5" showDataAs="percentDiff" baseField="2" baseItem="1048828" numFmtId="10"/>
    <dataField name="Sum of Milk and products" fld="6" showDataAs="percentDiff" baseField="2" baseItem="1048828" numFmtId="10"/>
    <dataField name="Sum of Oils and fats" fld="7" showDataAs="percentDiff" baseField="2" baseItem="1048828" numFmtId="10"/>
    <dataField name="Sum of Fruits" fld="8" showDataAs="percentDiff" baseField="2" baseItem="1048828" numFmtId="10"/>
    <dataField name="Sum of Vegetables" fld="9" showDataAs="percentDiff" baseField="2" baseItem="1048828" numFmtId="10"/>
    <dataField name="Sum of Pulses and products" fld="10" showDataAs="percentDiff" baseField="2" baseItem="1048828" numFmtId="10"/>
    <dataField name="Sum of Sugar and Confectionery" fld="11" showDataAs="percentDiff" baseField="2" baseItem="1048828" numFmtId="10"/>
    <dataField name="Sum of Spices" fld="12" showDataAs="percentDiff" baseField="2" baseItem="1048828" numFmtId="10"/>
    <dataField name="Sum of Non-alcoholic beverages" fld="13" showDataAs="percentDiff" baseField="2" baseItem="1048828" numFmtId="10"/>
    <dataField name="Sum of Prepared meals, snacks, sweets etc." fld="14" showDataAs="percentDiff" baseField="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C1CFF-03F1-4F8A-A1D9-CEBFD38CB4E5}" name="PivotTable16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78:M92" firstHeaderRow="0" firstDataRow="1" firstDataCol="1" rowPageCount="1" colPageCount="1"/>
  <pivotFields count="15">
    <pivotField axis="axisPage" multipleItemSelectionAllowed="1" showAll="0">
      <items count="4">
        <item h="1" x="0"/>
        <item h="1"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0" hier="-1"/>
  </pageFields>
  <dataFields count="12">
    <dataField name="Sum of Cereals and products" fld="3" showDataAs="percentDiff" baseField="2" baseItem="1048828" numFmtId="10"/>
    <dataField name="Sum of Meat and fish" fld="4" showDataAs="percentDiff" baseField="2" baseItem="1048828" numFmtId="10"/>
    <dataField name="Sum of Egg" fld="5" showDataAs="percentDiff" baseField="2" baseItem="1048828" numFmtId="10"/>
    <dataField name="Sum of Milk and products" fld="6" showDataAs="percentDiff" baseField="2" baseItem="1048828" numFmtId="10"/>
    <dataField name="Sum of Oils and fats" fld="7" showDataAs="percentDiff" baseField="2" baseItem="1048828" numFmtId="10"/>
    <dataField name="Sum of Fruits" fld="8" showDataAs="percentDiff" baseField="2" baseItem="1048828" numFmtId="10"/>
    <dataField name="Sum of Vegetables" fld="9" showDataAs="percentDiff" baseField="2" baseItem="1048828" numFmtId="10"/>
    <dataField name="Sum of Pulses and products" fld="10" showDataAs="percentDiff" baseField="2" baseItem="1048828" numFmtId="10"/>
    <dataField name="Sum of Sugar and Confectionery" fld="11" showDataAs="percentDiff" baseField="2" baseItem="1048828" numFmtId="10"/>
    <dataField name="Sum of Spices" fld="12" showDataAs="percentDiff" baseField="2" baseItem="1048828" numFmtId="10"/>
    <dataField name="Sum of Non-alcoholic beverages" fld="13" showDataAs="percentDiff" baseField="2" baseItem="1048828" numFmtId="10"/>
    <dataField name="Sum of Prepared meals, snacks, sweets etc." fld="14" showDataAs="percentDiff" baseField="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16F53-FDAF-4503-945C-87BA1E5FF1E1}" name="PivotTable1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58:M72" firstHeaderRow="0" firstDataRow="1" firstDataCol="1" rowPageCount="1" colPageCount="1"/>
  <pivotFields count="15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0" hier="-1"/>
  </pageFields>
  <dataFields count="12">
    <dataField name="Sum of Cereals and products" fld="3" showDataAs="percentDiff" baseField="2" baseItem="1048828" numFmtId="10"/>
    <dataField name="Sum of Meat and fish" fld="4" showDataAs="percentDiff" baseField="2" baseItem="1048828" numFmtId="10"/>
    <dataField name="Sum of Egg" fld="5" showDataAs="percentDiff" baseField="2" baseItem="1048828" numFmtId="10"/>
    <dataField name="Sum of Milk and products" fld="6" showDataAs="percentDiff" baseField="2" baseItem="1048828" numFmtId="10"/>
    <dataField name="Sum of Oils and fats" fld="7" showDataAs="percentDiff" baseField="2" baseItem="1048828" numFmtId="10"/>
    <dataField name="Sum of Fruits" fld="8" showDataAs="percentDiff" baseField="2" baseItem="1048828" numFmtId="10"/>
    <dataField name="Sum of Vegetables" fld="9" showDataAs="percentDiff" baseField="2" baseItem="1048828" numFmtId="10"/>
    <dataField name="Sum of Pulses and products" fld="10" showDataAs="percentDiff" baseField="2" baseItem="1048828" numFmtId="10"/>
    <dataField name="Sum of Sugar and Confectionery" fld="11" showDataAs="percentDiff" baseField="2" baseItem="1048828" numFmtId="10"/>
    <dataField name="Sum of Spices" fld="12" showDataAs="percentDiff" baseField="2" baseItem="1048828" numFmtId="10"/>
    <dataField name="Sum of Non-alcoholic beverages" fld="13" showDataAs="percentDiff" baseField="2" baseItem="1048828" numFmtId="10"/>
    <dataField name="Sum of Prepared meals, snacks, sweets etc." fld="14" showDataAs="percentDiff" baseField="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1BDE6-EA93-4AFC-90B6-088D8E3532B8}" name="PivotTable25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1:B35" firstHeaderRow="1" firstDataRow="1" firstDataCol="1" rowPageCount="1" colPageCount="1"/>
  <pivotFields count="4">
    <pivotField axis="axisPage" multipleItemSelectionAllowed="1" showAll="0">
      <items count="5">
        <item h="1" x="1"/>
        <item h="1" x="3"/>
        <item x="2"/>
        <item h="1" x="0"/>
        <item t="default"/>
      </items>
    </pivotField>
    <pivotField axis="axisRow" showAll="0" defaultSubtotal="0">
      <items count="3">
        <item x="0"/>
        <item x="2"/>
        <item x="1"/>
      </items>
    </pivotField>
    <pivotField axis="axisRow" showAll="0">
      <items count="14">
        <item x="8"/>
        <item x="9"/>
        <item x="10"/>
        <item x="11"/>
        <item x="12"/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Items count="1">
    <i/>
  </colItems>
  <pageFields count="1">
    <pageField fld="0" hier="-1"/>
  </pageFields>
  <dataFields count="1">
    <dataField name="Sum of Food and beverag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61B80-5CF3-4E4B-8A43-23AC51CEB40C}" name="PivotTable2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17" firstHeaderRow="1" firstDataRow="1" firstDataCol="1" rowPageCount="1" colPageCount="1"/>
  <pivotFields count="4">
    <pivotField axis="axisPage" multipleItemSelectionAllowed="1" showAll="0">
      <items count="5">
        <item x="1"/>
        <item h="1" x="3"/>
        <item h="1" x="2"/>
        <item h="1" x="0"/>
        <item t="default"/>
      </items>
    </pivotField>
    <pivotField axis="axisRow" showAll="0" defaultSubtotal="0">
      <items count="3">
        <item x="0"/>
        <item x="2"/>
        <item x="1"/>
      </items>
    </pivotField>
    <pivotField axis="axisRow" showAll="0">
      <items count="14">
        <item x="8"/>
        <item x="9"/>
        <item x="10"/>
        <item x="11"/>
        <item x="12"/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Items count="1">
    <i/>
  </colItems>
  <pageFields count="1">
    <pageField fld="0" hier="-1"/>
  </pageFields>
  <dataFields count="1">
    <dataField name="Sum of Food and beverag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19F29-0EBE-4FCD-875D-47BE82DE4A5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E53" firstHeaderRow="0" firstDataRow="1" firstDataCol="1" rowPageCount="1" colPageCount="1"/>
  <pivotFields count="7">
    <pivotField axis="axisPage" multipleItemSelectionAllowed="1" showAll="0">
      <items count="5">
        <item h="1" x="1"/>
        <item x="3"/>
        <item h="1" x="2"/>
        <item h="1" x="0"/>
        <item t="default"/>
      </items>
    </pivotField>
    <pivotField axis="axisRow" showAll="0" defaultSubtotal="0">
      <items count="3">
        <item x="1"/>
        <item x="2"/>
        <item h="1" x="0"/>
      </items>
    </pivotField>
    <pivotField axis="axisRow" showAll="0">
      <items count="13">
        <item x="9"/>
        <item x="10"/>
        <item x="11"/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4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Food and beverages" fld="3" subtotal="average" baseField="1" baseItem="0"/>
    <dataField name="Average of Fuel and light" fld="4" subtotal="average" baseField="1" baseItem="0"/>
    <dataField name="Average of Health" fld="5" subtotal="average" baseField="1" baseItem="0"/>
    <dataField name="Average of Miscellaneous" fld="6" subtotal="average" baseField="1" baseItem="0"/>
  </dataFields>
  <formats count="1">
    <format dxfId="4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D1FC5-7882-4D90-8161-63833EF398F5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E35" firstHeaderRow="0" firstDataRow="1" firstDataCol="1" rowPageCount="1" colPageCount="1"/>
  <pivotFields count="7">
    <pivotField axis="axisPage" multipleItemSelectionAllowed="1" showAll="0">
      <items count="5">
        <item h="1" x="1"/>
        <item h="1" x="3"/>
        <item x="2"/>
        <item h="1" x="0"/>
        <item t="default"/>
      </items>
    </pivotField>
    <pivotField axis="axisRow" showAll="0" defaultSubtotal="0">
      <items count="3">
        <item x="1"/>
        <item x="2"/>
        <item h="1" x="0"/>
      </items>
    </pivotField>
    <pivotField axis="axisRow" showAll="0">
      <items count="13">
        <item x="9"/>
        <item x="10"/>
        <item x="11"/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4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Food and beverages" fld="3" subtotal="average" baseField="1" baseItem="0"/>
    <dataField name="Average of Fuel and light" fld="4" subtotal="average" baseField="1" baseItem="0"/>
    <dataField name="Average of Health" fld="5" subtotal="average" baseField="1" baseItem="0"/>
    <dataField name="Average of Miscellaneous" fld="6" subtotal="average" baseField="1" baseItem="0"/>
  </dataFields>
  <formats count="1">
    <format dxfId="4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11001-B56B-4DB9-9D96-BC219B46C4E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0" firstDataRow="1" firstDataCol="1" rowPageCount="1" colPageCount="1"/>
  <pivotFields count="7">
    <pivotField axis="axisPage" multipleItemSelectionAllowed="1" showAll="0">
      <items count="5">
        <item x="1"/>
        <item h="1" x="3"/>
        <item h="1" x="2"/>
        <item h="1" x="0"/>
        <item t="default"/>
      </items>
    </pivotField>
    <pivotField axis="axisRow" showAll="0" defaultSubtotal="0">
      <items count="3">
        <item x="1"/>
        <item x="2"/>
        <item h="1" x="0"/>
      </items>
    </pivotField>
    <pivotField axis="axisRow" showAll="0">
      <items count="13">
        <item x="9"/>
        <item x="10"/>
        <item x="11"/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4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Food and beverages" fld="3" subtotal="average" baseField="1" baseItem="0"/>
    <dataField name="Average of Fuel and light" fld="4" subtotal="average" baseField="1" baseItem="0"/>
    <dataField name="Average of Health" fld="5" subtotal="average" baseField="1" baseItem="0"/>
    <dataField name="Average of Miscellaneous" fld="6" subtotal="average" baseField="1" baseItem="0"/>
  </dataFields>
  <formats count="1">
    <format dxfId="5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E391A-77F4-47CE-9D4E-6E00A4C8CB0E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1:K56" firstHeaderRow="0" firstDataRow="1" firstDataCol="1" rowPageCount="1" colPageCount="1"/>
  <pivotFields count="7">
    <pivotField axis="axisPage" multipleItemSelectionAllowed="1" showAll="0">
      <items count="5">
        <item h="1" x="1"/>
        <item x="3"/>
        <item h="1" x="2"/>
        <item h="1" x="0"/>
        <item t="default"/>
      </items>
    </pivotField>
    <pivotField axis="axisRow" showAll="0" defaultSubtotal="0">
      <items count="3">
        <item x="1"/>
        <item x="2"/>
        <item x="0"/>
      </items>
    </pivotField>
    <pivotField axis="axisRow" showAll="0">
      <items count="14">
        <item x="10"/>
        <item x="11"/>
        <item x="12"/>
        <item x="1"/>
        <item x="2"/>
        <item x="3"/>
        <item x="4"/>
        <item x="5"/>
        <item x="6"/>
        <item x="7"/>
        <item x="8"/>
        <item x="9"/>
        <item x="0"/>
        <item t="default"/>
      </items>
    </pivotField>
    <pivotField dataField="1" showAll="0">
      <items count="29">
        <item x="1"/>
        <item x="3"/>
        <item x="5"/>
        <item x="2"/>
        <item x="7"/>
        <item x="25"/>
        <item x="22"/>
        <item x="8"/>
        <item x="10"/>
        <item x="27"/>
        <item x="24"/>
        <item x="6"/>
        <item x="12"/>
        <item x="13"/>
        <item x="9"/>
        <item x="26"/>
        <item x="23"/>
        <item x="21"/>
        <item x="11"/>
        <item x="15"/>
        <item x="16"/>
        <item x="14"/>
        <item x="19"/>
        <item x="18"/>
        <item x="20"/>
        <item x="17"/>
        <item x="4"/>
        <item x="0"/>
        <item t="default"/>
      </items>
    </pivotField>
    <pivotField dataField="1" showAll="0">
      <items count="30">
        <item x="2"/>
        <item x="11"/>
        <item x="16"/>
        <item x="19"/>
        <item x="8"/>
        <item x="6"/>
        <item x="12"/>
        <item x="9"/>
        <item x="14"/>
        <item x="17"/>
        <item x="3"/>
        <item x="20"/>
        <item x="5"/>
        <item x="7"/>
        <item x="10"/>
        <item x="13"/>
        <item x="15"/>
        <item x="22"/>
        <item x="1"/>
        <item x="18"/>
        <item x="24"/>
        <item x="21"/>
        <item x="25"/>
        <item x="23"/>
        <item x="27"/>
        <item x="28"/>
        <item x="26"/>
        <item x="4"/>
        <item x="0"/>
        <item t="default"/>
      </items>
    </pivotField>
    <pivotField dataField="1" showAll="0">
      <items count="32">
        <item x="2"/>
        <item x="6"/>
        <item x="9"/>
        <item x="12"/>
        <item x="3"/>
        <item x="15"/>
        <item x="18"/>
        <item x="21"/>
        <item x="24"/>
        <item x="1"/>
        <item x="7"/>
        <item x="10"/>
        <item x="13"/>
        <item x="16"/>
        <item x="29"/>
        <item x="19"/>
        <item x="5"/>
        <item x="22"/>
        <item x="8"/>
        <item x="11"/>
        <item x="25"/>
        <item x="14"/>
        <item x="17"/>
        <item x="27"/>
        <item x="20"/>
        <item x="30"/>
        <item x="23"/>
        <item x="26"/>
        <item x="28"/>
        <item x="4"/>
        <item x="0"/>
        <item t="default"/>
      </items>
    </pivotField>
    <pivotField dataField="1" showAll="0"/>
  </pivotFields>
  <rowFields count="2">
    <field x="1"/>
    <field x="2"/>
  </rowFields>
  <rowItems count="15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Food and beverages" fld="3" subtotal="average" baseField="1" baseItem="0"/>
    <dataField name="Average of Fuel and light" fld="4" subtotal="average" baseField="1" baseItem="0"/>
    <dataField name="Average of Health" fld="5" subtotal="average" baseField="1" baseItem="0"/>
    <dataField name="Average of Miscellaneous" fld="6" subtotal="average" baseField="1" baseItem="0"/>
  </dataFields>
  <formats count="1">
    <format dxfId="5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65C40-3D75-46AA-9A90-AD5E1C0F2DFB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2:K37" firstHeaderRow="0" firstDataRow="1" firstDataCol="1" rowPageCount="1" colPageCount="1"/>
  <pivotFields count="7">
    <pivotField axis="axisPage" multipleItemSelectionAllowed="1" showAll="0">
      <items count="5">
        <item h="1" x="1"/>
        <item h="1" x="3"/>
        <item x="2"/>
        <item h="1" x="0"/>
        <item t="default"/>
      </items>
    </pivotField>
    <pivotField axis="axisRow" showAll="0" defaultSubtotal="0">
      <items count="3">
        <item x="1"/>
        <item x="2"/>
        <item x="0"/>
      </items>
    </pivotField>
    <pivotField axis="axisRow" showAll="0">
      <items count="14">
        <item x="10"/>
        <item x="11"/>
        <item x="12"/>
        <item x="1"/>
        <item x="2"/>
        <item x="3"/>
        <item x="4"/>
        <item x="5"/>
        <item x="6"/>
        <item x="7"/>
        <item x="8"/>
        <item x="9"/>
        <item x="0"/>
        <item t="default"/>
      </items>
    </pivotField>
    <pivotField dataField="1" showAll="0">
      <items count="29">
        <item x="1"/>
        <item x="3"/>
        <item x="5"/>
        <item x="2"/>
        <item x="7"/>
        <item x="25"/>
        <item x="22"/>
        <item x="8"/>
        <item x="10"/>
        <item x="27"/>
        <item x="24"/>
        <item x="6"/>
        <item x="12"/>
        <item x="13"/>
        <item x="9"/>
        <item x="26"/>
        <item x="23"/>
        <item x="21"/>
        <item x="11"/>
        <item x="15"/>
        <item x="16"/>
        <item x="14"/>
        <item x="19"/>
        <item x="18"/>
        <item x="20"/>
        <item x="17"/>
        <item x="4"/>
        <item x="0"/>
        <item t="default"/>
      </items>
    </pivotField>
    <pivotField dataField="1" showAll="0">
      <items count="30">
        <item x="2"/>
        <item x="11"/>
        <item x="16"/>
        <item x="19"/>
        <item x="8"/>
        <item x="6"/>
        <item x="12"/>
        <item x="9"/>
        <item x="14"/>
        <item x="17"/>
        <item x="3"/>
        <item x="20"/>
        <item x="5"/>
        <item x="7"/>
        <item x="10"/>
        <item x="13"/>
        <item x="15"/>
        <item x="22"/>
        <item x="1"/>
        <item x="18"/>
        <item x="24"/>
        <item x="21"/>
        <item x="25"/>
        <item x="23"/>
        <item x="27"/>
        <item x="28"/>
        <item x="26"/>
        <item x="4"/>
        <item x="0"/>
        <item t="default"/>
      </items>
    </pivotField>
    <pivotField dataField="1" showAll="0">
      <items count="32">
        <item x="2"/>
        <item x="6"/>
        <item x="9"/>
        <item x="12"/>
        <item x="3"/>
        <item x="15"/>
        <item x="18"/>
        <item x="21"/>
        <item x="24"/>
        <item x="1"/>
        <item x="7"/>
        <item x="10"/>
        <item x="13"/>
        <item x="16"/>
        <item x="29"/>
        <item x="19"/>
        <item x="5"/>
        <item x="22"/>
        <item x="8"/>
        <item x="11"/>
        <item x="25"/>
        <item x="14"/>
        <item x="17"/>
        <item x="27"/>
        <item x="20"/>
        <item x="30"/>
        <item x="23"/>
        <item x="26"/>
        <item x="28"/>
        <item x="4"/>
        <item x="0"/>
        <item t="default"/>
      </items>
    </pivotField>
    <pivotField dataField="1" showAll="0"/>
  </pivotFields>
  <rowFields count="2">
    <field x="1"/>
    <field x="2"/>
  </rowFields>
  <rowItems count="15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Food and beverages" fld="3" subtotal="average" baseField="1" baseItem="0"/>
    <dataField name="Average of Fuel and light" fld="4" subtotal="average" baseField="1" baseItem="0"/>
    <dataField name="Average of Health" fld="5" subtotal="average" baseField="1" baseItem="0"/>
    <dataField name="Average of Miscellaneous" fld="6" subtotal="average" baseField="1" baseItem="0"/>
  </dataFields>
  <formats count="1">
    <format dxfId="5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FD5CD-AAC2-4CF3-9CF0-F5C1D2D0AC39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K18" firstHeaderRow="0" firstDataRow="1" firstDataCol="1" rowPageCount="1" colPageCount="1"/>
  <pivotFields count="7">
    <pivotField axis="axisPage" multipleItemSelectionAllowed="1" showAll="0">
      <items count="5">
        <item x="1"/>
        <item h="1" x="3"/>
        <item h="1" x="2"/>
        <item h="1" x="0"/>
        <item t="default"/>
      </items>
    </pivotField>
    <pivotField axis="axisRow" showAll="0" defaultSubtotal="0">
      <items count="3">
        <item x="1"/>
        <item x="2"/>
        <item x="0"/>
      </items>
    </pivotField>
    <pivotField axis="axisRow" showAll="0">
      <items count="14">
        <item x="10"/>
        <item x="11"/>
        <item x="12"/>
        <item x="1"/>
        <item x="2"/>
        <item x="3"/>
        <item x="4"/>
        <item x="5"/>
        <item x="6"/>
        <item x="7"/>
        <item x="8"/>
        <item x="9"/>
        <item x="0"/>
        <item t="default"/>
      </items>
    </pivotField>
    <pivotField dataField="1" showAll="0">
      <items count="29">
        <item x="1"/>
        <item x="3"/>
        <item x="5"/>
        <item x="2"/>
        <item x="7"/>
        <item x="25"/>
        <item x="22"/>
        <item x="8"/>
        <item x="10"/>
        <item x="27"/>
        <item x="24"/>
        <item x="6"/>
        <item x="12"/>
        <item x="13"/>
        <item x="9"/>
        <item x="26"/>
        <item x="23"/>
        <item x="21"/>
        <item x="11"/>
        <item x="15"/>
        <item x="16"/>
        <item x="14"/>
        <item x="19"/>
        <item x="18"/>
        <item x="20"/>
        <item x="17"/>
        <item x="4"/>
        <item x="0"/>
        <item t="default"/>
      </items>
    </pivotField>
    <pivotField dataField="1" showAll="0">
      <items count="30">
        <item x="2"/>
        <item x="11"/>
        <item x="16"/>
        <item x="19"/>
        <item x="8"/>
        <item x="6"/>
        <item x="12"/>
        <item x="9"/>
        <item x="14"/>
        <item x="17"/>
        <item x="3"/>
        <item x="20"/>
        <item x="5"/>
        <item x="7"/>
        <item x="10"/>
        <item x="13"/>
        <item x="15"/>
        <item x="22"/>
        <item x="1"/>
        <item x="18"/>
        <item x="24"/>
        <item x="21"/>
        <item x="25"/>
        <item x="23"/>
        <item x="27"/>
        <item x="28"/>
        <item x="26"/>
        <item x="4"/>
        <item x="0"/>
        <item t="default"/>
      </items>
    </pivotField>
    <pivotField dataField="1" showAll="0">
      <items count="32">
        <item x="2"/>
        <item x="6"/>
        <item x="9"/>
        <item x="12"/>
        <item x="3"/>
        <item x="15"/>
        <item x="18"/>
        <item x="21"/>
        <item x="24"/>
        <item x="1"/>
        <item x="7"/>
        <item x="10"/>
        <item x="13"/>
        <item x="16"/>
        <item x="29"/>
        <item x="19"/>
        <item x="5"/>
        <item x="22"/>
        <item x="8"/>
        <item x="11"/>
        <item x="25"/>
        <item x="14"/>
        <item x="17"/>
        <item x="27"/>
        <item x="20"/>
        <item x="30"/>
        <item x="23"/>
        <item x="26"/>
        <item x="28"/>
        <item x="4"/>
        <item x="0"/>
        <item t="default"/>
      </items>
    </pivotField>
    <pivotField dataField="1" showAll="0"/>
  </pivotFields>
  <rowFields count="2">
    <field x="1"/>
    <field x="2"/>
  </rowFields>
  <rowItems count="15">
    <i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Food and beverages" fld="3" subtotal="average" baseField="1" baseItem="0"/>
    <dataField name="Average of Fuel and light" fld="4" subtotal="average" baseField="1" baseItem="0"/>
    <dataField name="Average of Health" fld="5" subtotal="average" baseField="1" baseItem="0"/>
    <dataField name="Average of Miscellaneous" fld="6" subtotal="average" baseField="1" baseItem="0"/>
  </dataFields>
  <formats count="1">
    <format dxfId="5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53E45-FA27-47A5-A78E-B48B9179B779}" name="PivotTable7" cacheId="8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18">
  <location ref="A174:G206" firstHeaderRow="0" firstDataRow="1" firstDataCol="1" rowPageCount="1" colPageCount="1"/>
  <pivotFields count="9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0" name="[Range].[Sector].&amp;[Rural+Urban]" cap="Rural+Urban"/>
  </pageFields>
  <dataFields count="6">
    <dataField name="Sum of Food and beverages" fld="3" showDataAs="percentDiff" baseField="1" baseItem="1048828" numFmtId="10"/>
    <dataField name="Sum of Pan, tobacco and intoxicants" fld="4" showDataAs="percentDiff" baseField="1" baseItem="1048828" numFmtId="10"/>
    <dataField name="Sum of Clothing and footwear" fld="5" showDataAs="percentDiff" baseField="1" baseItem="1048828" numFmtId="10"/>
    <dataField name="Sum of Fuel and light" fld="6" showDataAs="percentDiff" baseField="1" baseItem="1048828" numFmtId="10"/>
    <dataField name="Sum of Transport and communication" fld="7" showDataAs="percentDiff" baseField="1" baseItem="1048828" numFmtId="10"/>
    <dataField name="Sum of Miscellaneous" fld="8" showDataAs="percentDiff" baseField="1" baseItem="1048828" numFmtId="10"/>
  </dataFields>
  <formats count="11">
    <format dxfId="10">
      <pivotArea collapsedLevelsAreSubtotals="1" fieldPosition="0">
        <references count="2">
          <reference field="0" count="1" selected="0">
            <x v="0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8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7">
      <pivotArea collapsedLevelsAreSubtotals="1" fieldPosition="0">
        <references count="1">
          <reference field="0" count="1">
            <x v="2"/>
          </reference>
        </references>
      </pivotArea>
    </format>
    <format dxfId="6">
      <pivotArea collapsedLevelsAreSubtotals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1">
      <pivotArea outline="0" fieldPosition="0">
        <references count="1">
          <reference field="4294967294" count="1">
            <x v="4"/>
          </reference>
        </references>
      </pivotArea>
    </format>
    <format dxfId="0">
      <pivotArea outline="0" fieldPosition="0">
        <references count="1">
          <reference field="4294967294" count="1">
            <x v="5"/>
          </reference>
        </references>
      </pivotArea>
    </format>
  </formats>
  <conditionalFormats count="1">
    <conditionalFormat priority="1">
      <pivotAreas count="5">
        <pivotArea type="data" collapsedLevelsAreSubtotals="1" fieldPosition="0">
          <references count="2">
            <reference field="0" count="1" selected="0">
              <x v="0"/>
            </reference>
            <reference field="1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Hierarchies count="42">
    <pivotHierarchy multipleItemSelectionAllowed="1" dragToData="1">
      <members count="1" level="1">
        <member name="[Range].[Sector].&amp;[Rural+Urban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India_Index_Upto_April23 (1!$A$1:$AD$3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B984C-367A-48B6-8B27-C39268DCB216}" name="PivotTable6" cacheId="7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18">
  <location ref="I137:O169" firstHeaderRow="0" firstDataRow="1" firstDataCol="1" rowPageCount="1" colPageCount="1"/>
  <pivotFields count="9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0" name="[Range].[Sector].&amp;[Urban]" cap="Urban"/>
  </pageFields>
  <dataFields count="6">
    <dataField name="Sum of Food and beverages" fld="3" showDataAs="percentDiff" baseField="1" baseItem="1048828" numFmtId="10"/>
    <dataField name="Sum of Pan, tobacco and intoxicants" fld="4" showDataAs="percentDiff" baseField="1" baseItem="1048828" numFmtId="10"/>
    <dataField name="Sum of Clothing and footwear" fld="5" showDataAs="percentDiff" baseField="1" baseItem="1048828" numFmtId="10"/>
    <dataField name="Sum of Fuel and light" fld="6" showDataAs="percentDiff" baseField="1" baseItem="1048828" numFmtId="10"/>
    <dataField name="Sum of Transport and communication" fld="7" showDataAs="percentDiff" baseField="1" baseItem="1048828" numFmtId="10"/>
    <dataField name="Sum of Miscellaneous" fld="8" showDataAs="percentDiff" baseField="1" baseItem="1048828" numFmtId="10"/>
  </dataFields>
  <formats count="11">
    <format dxfId="21">
      <pivotArea collapsedLevelsAreSubtotals="1" fieldPosition="0">
        <references count="2">
          <reference field="0" count="1" selected="0">
            <x v="0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">
      <pivotArea collapsedLevelsAreSubtotals="1" fieldPosition="0">
        <references count="1">
          <reference field="0" count="1">
            <x v="1"/>
          </reference>
        </references>
      </pivotArea>
    </format>
    <format dxfId="19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18">
      <pivotArea collapsedLevelsAreSubtotals="1" fieldPosition="0">
        <references count="1">
          <reference field="0" count="1">
            <x v="2"/>
          </reference>
        </references>
      </pivotArea>
    </format>
    <format dxfId="17">
      <pivotArea collapsedLevelsAreSubtotals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outline="0" fieldPosition="0">
        <references count="1">
          <reference field="4294967294" count="1">
            <x v="1"/>
          </reference>
        </references>
      </pivotArea>
    </format>
    <format dxfId="14">
      <pivotArea outline="0" fieldPosition="0">
        <references count="1">
          <reference field="4294967294" count="1">
            <x v="2"/>
          </reference>
        </references>
      </pivotArea>
    </format>
    <format dxfId="13">
      <pivotArea outline="0" fieldPosition="0">
        <references count="1">
          <reference field="4294967294" count="1">
            <x v="3"/>
          </reference>
        </references>
      </pivotArea>
    </format>
    <format dxfId="12">
      <pivotArea outline="0" fieldPosition="0">
        <references count="1">
          <reference field="4294967294" count="1">
            <x v="4"/>
          </reference>
        </references>
      </pivotArea>
    </format>
    <format dxfId="11">
      <pivotArea outline="0" fieldPosition="0">
        <references count="1">
          <reference field="4294967294" count="1">
            <x v="5"/>
          </reference>
        </references>
      </pivotArea>
    </format>
  </formats>
  <conditionalFormats count="1">
    <conditionalFormat priority="2">
      <pivotAreas count="5">
        <pivotArea type="data" collapsedLevelsAreSubtotals="1" fieldPosition="0">
          <references count="2">
            <reference field="0" count="1" selected="0">
              <x v="0"/>
            </reference>
            <reference field="1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Hierarchies count="42">
    <pivotHierarchy multipleItemSelectionAllowed="1" dragToData="1">
      <members count="1" level="1">
        <member name="[Range].[Sector].&amp;[Urban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India_Index_Upto_April23 (1!$A$1:$AD$3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AE271-49DB-4D48-86AD-38251BE1724B}" name="PivotTable5" cacheId="6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18">
  <location ref="A137:G169" firstHeaderRow="0" firstDataRow="1" firstDataCol="1" rowPageCount="1" colPageCount="1"/>
  <pivotFields count="9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0" name="[Range].[Sector].&amp;[Rural]" cap="Rural"/>
  </pageFields>
  <dataFields count="6">
    <dataField name="Sum of Food and beverages" fld="3" showDataAs="percentDiff" baseField="1" baseItem="1048828" numFmtId="10"/>
    <dataField name="Sum of Pan, tobacco and intoxicants" fld="4" showDataAs="percentDiff" baseField="1" baseItem="1048828" numFmtId="10"/>
    <dataField name="Sum of Clothing and footwear" fld="5" showDataAs="percentDiff" baseField="1" baseItem="1048828" numFmtId="10"/>
    <dataField name="Sum of Fuel and light" fld="6" showDataAs="percentDiff" baseField="1" baseItem="1048828" numFmtId="10"/>
    <dataField name="Sum of Transport and communication" fld="7" showDataAs="percentDiff" baseField="1" baseItem="1048828" numFmtId="10"/>
    <dataField name="Sum of Miscellaneous" fld="8" showDataAs="percentDiff" baseField="1" baseItem="1048828" numFmtId="10"/>
  </dataFields>
  <formats count="11">
    <format dxfId="32">
      <pivotArea collapsedLevelsAreSubtotals="1" fieldPosition="0">
        <references count="2">
          <reference field="0" count="1" selected="0">
            <x v="0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1">
      <pivotArea collapsedLevelsAreSubtotals="1" fieldPosition="0">
        <references count="1">
          <reference field="0" count="1">
            <x v="1"/>
          </reference>
        </references>
      </pivotArea>
    </format>
    <format dxfId="30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29">
      <pivotArea collapsedLevelsAreSubtotals="1" fieldPosition="0">
        <references count="1">
          <reference field="0" count="1">
            <x v="2"/>
          </reference>
        </references>
      </pivotArea>
    </format>
    <format dxfId="28">
      <pivotArea collapsedLevelsAreSubtotals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fieldPosition="0">
        <references count="1">
          <reference field="4294967294" count="1">
            <x v="1"/>
          </reference>
        </references>
      </pivotArea>
    </format>
    <format dxfId="25">
      <pivotArea outline="0" fieldPosition="0">
        <references count="1">
          <reference field="4294967294" count="1">
            <x v="2"/>
          </reference>
        </references>
      </pivotArea>
    </format>
    <format dxfId="24">
      <pivotArea outline="0" fieldPosition="0">
        <references count="1">
          <reference field="4294967294" count="1">
            <x v="3"/>
          </reference>
        </references>
      </pivotArea>
    </format>
    <format dxfId="23">
      <pivotArea outline="0" fieldPosition="0">
        <references count="1">
          <reference field="4294967294" count="1">
            <x v="4"/>
          </reference>
        </references>
      </pivotArea>
    </format>
    <format dxfId="22">
      <pivotArea outline="0" fieldPosition="0">
        <references count="1">
          <reference field="4294967294" count="1">
            <x v="5"/>
          </reference>
        </references>
      </pivotArea>
    </format>
  </formats>
  <conditionalFormats count="1">
    <conditionalFormat priority="3">
      <pivotAreas count="5">
        <pivotArea type="data" collapsedLevelsAreSubtotals="1" fieldPosition="0">
          <references count="2">
            <reference field="0" count="1" selected="0">
              <x v="0"/>
            </reference>
            <reference field="1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Hierarchies count="42">
    <pivotHierarchy multipleItemSelectionAllowed="1" dragToData="1">
      <members count="1" level="1">
        <member name="[Range].[Sector].&amp;[Rural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India_Index_Upto_April23 (1!$A$1:$AD$3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97B2A-BD95-45A2-A5A3-F573BD93DAB5}" name="PivotTable3" cacheId="3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7">
  <location ref="A48:D80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0" name="[Range].[Sector].&amp;[Urban]" cap="Urban"/>
  </pageFields>
  <dataFields count="3">
    <dataField name="Sum of Fuel and light" fld="3" showDataAs="percentDiff" baseField="1" baseItem="1048828" numFmtId="10"/>
    <dataField name="Sum of Transport and communication" fld="4" showDataAs="percentDiff" baseField="1" baseItem="1048828" numFmtId="10"/>
    <dataField name="Sum of General index" fld="5" showDataAs="percentDiff" baseField="1" baseItem="1048828" numFmtId="10"/>
  </dataFields>
  <formats count="5">
    <format dxfId="37">
      <pivotArea collapsedLevelsAreSubtotals="1" fieldPosition="0">
        <references count="2">
          <reference field="0" count="1" selected="0">
            <x v="0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6">
      <pivotArea collapsedLevelsAreSubtotals="1" fieldPosition="0">
        <references count="1">
          <reference field="0" count="1">
            <x v="1"/>
          </reference>
        </references>
      </pivotArea>
    </format>
    <format dxfId="35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34">
      <pivotArea collapsedLevelsAreSubtotals="1" fieldPosition="0">
        <references count="1">
          <reference field="0" count="1">
            <x v="2"/>
          </reference>
        </references>
      </pivotArea>
    </format>
    <format dxfId="33">
      <pivotArea collapsedLevelsAreSubtotals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</formats>
  <conditionalFormats count="1">
    <conditionalFormat priority="5">
      <pivotAreas count="5">
        <pivotArea type="data" collapsedLevelsAreSubtotals="1" fieldPosition="0">
          <references count="2">
            <reference field="0" count="1" selected="0">
              <x v="0"/>
            </reference>
            <reference field="1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2">
    <pivotHierarchy multipleItemSelectionAllowed="1" dragToData="1">
      <members count="1" level="1">
        <member name="[Range].[Sector].&amp;[Urban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India_Index_Upto_April23 (1!$A$1:$AD$3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9177A-6317-40AB-AF8F-31360EDE2675}" name="PivotTable1" cacheId="4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14">
  <location ref="A4:D36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0" name="[Range].[Sector].&amp;[Rural]" cap="Rural"/>
  </pageFields>
  <dataFields count="3">
    <dataField name="Sum of Fuel and light" fld="3" showDataAs="percentDiff" baseField="1" baseItem="1048828" numFmtId="10"/>
    <dataField name="Sum of Transport and communication" fld="4" showDataAs="percentDiff" baseField="1" baseItem="1048828" numFmtId="10"/>
    <dataField name="Sum of General index" fld="5" showDataAs="percentDiff" baseField="1" baseItem="1048828" numFmtId="10"/>
  </dataFields>
  <formats count="5">
    <format dxfId="42">
      <pivotArea collapsedLevelsAreSubtotals="1" fieldPosition="0">
        <references count="2">
          <reference field="0" count="1" selected="0">
            <x v="0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">
      <pivotArea collapsedLevelsAreSubtotals="1" fieldPosition="0">
        <references count="1">
          <reference field="0" count="1">
            <x v="1"/>
          </reference>
        </references>
      </pivotArea>
    </format>
    <format dxfId="40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39">
      <pivotArea collapsedLevelsAreSubtotals="1" fieldPosition="0">
        <references count="1">
          <reference field="0" count="1">
            <x v="2"/>
          </reference>
        </references>
      </pivotArea>
    </format>
    <format dxfId="38">
      <pivotArea collapsedLevelsAreSubtotals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</formats>
  <conditionalFormats count="1">
    <conditionalFormat priority="6">
      <pivotAreas count="5">
        <pivotArea type="data" collapsedLevelsAreSubtotals="1" fieldPosition="0">
          <references count="2">
            <reference field="0" count="1" selected="0">
              <x v="0"/>
            </reference>
            <reference field="1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2">
    <pivotHierarchy multipleItemSelectionAllowed="1" dragToData="1">
      <members count="1" level="1">
        <member name="[Range].[Sector].&amp;[Rural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India_Index_Upto_April23 (1!$A$1:$AD$3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0D37E-9E13-4481-AABE-33710116266A}" name="PivotTable4" cacheId="5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3">
  <location ref="A92:D124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0" name="[Range].[Sector].&amp;[Rural+Urban]" cap="Rural+Urban"/>
  </pageFields>
  <dataFields count="3">
    <dataField name="Sum of Fuel and light" fld="3" showDataAs="percentDiff" baseField="1" baseItem="1048828" numFmtId="10"/>
    <dataField name="Sum of Transport and communication" fld="4" showDataAs="percentDiff" baseField="1" baseItem="1048828" numFmtId="10"/>
    <dataField name="Sum of General index" fld="5" showDataAs="percentDiff" baseField="1" baseItem="1048828" numFmtId="10"/>
  </dataFields>
  <formats count="5">
    <format dxfId="47">
      <pivotArea collapsedLevelsAreSubtotals="1" fieldPosition="0">
        <references count="2">
          <reference field="0" count="1" selected="0">
            <x v="0"/>
          </reference>
          <reference field="1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6">
      <pivotArea collapsedLevelsAreSubtotals="1" fieldPosition="0">
        <references count="1">
          <reference field="0" count="1">
            <x v="1"/>
          </reference>
        </references>
      </pivotArea>
    </format>
    <format dxfId="45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44">
      <pivotArea collapsedLevelsAreSubtotals="1" fieldPosition="0">
        <references count="1">
          <reference field="0" count="1">
            <x v="2"/>
          </reference>
        </references>
      </pivotArea>
    </format>
    <format dxfId="43">
      <pivotArea collapsedLevelsAreSubtotals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</formats>
  <conditionalFormats count="1">
    <conditionalFormat priority="4">
      <pivotAreas count="5">
        <pivotArea type="data" collapsedLevelsAreSubtotals="1" fieldPosition="0">
          <references count="2">
            <reference field="0" count="1" selected="0">
              <x v="0"/>
            </reference>
            <reference field="1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2">
    <pivotHierarchy multipleItemSelectionAllowed="1" dragToData="1">
      <members count="1" level="1">
        <member name="[Range].[Sector].&amp;[Rural+Urban]"/>
      </members>
    </pivotHierarchy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India_Index_Upto_April23 (1!$A$1:$AD$36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AEBAD1-AFEA-4D8E-84EE-E2D069FC33BB}" name="Table2" displayName="Table2" ref="A1:AD373" totalsRowShown="0">
  <tableColumns count="30">
    <tableColumn id="1" xr3:uid="{FED4CD02-D488-4204-B2C3-5719B3B41EDD}" name="Sector"/>
    <tableColumn id="2" xr3:uid="{3A295B11-AF56-41F7-B71B-DC3A2FC4E125}" name="Year"/>
    <tableColumn id="3" xr3:uid="{155D8330-0DB5-413D-996D-5F915A94F6EF}" name="Month"/>
    <tableColumn id="4" xr3:uid="{16D9F098-4467-4EDE-8961-8BDC66998C25}" name="Cereals and products"/>
    <tableColumn id="5" xr3:uid="{77173AA9-763F-42FC-B491-F1A4E861025B}" name="Meat and fish"/>
    <tableColumn id="6" xr3:uid="{3CE6A9D0-889D-4B97-B792-216CDB2D2B8D}" name="Egg"/>
    <tableColumn id="7" xr3:uid="{3E1D2395-F481-4EF6-8DDE-7969ABFB7371}" name="Milk and products"/>
    <tableColumn id="8" xr3:uid="{C608BAB2-8E7A-4C0A-BF71-FFD0AA09514D}" name="Oils and fats"/>
    <tableColumn id="9" xr3:uid="{42FD7EBE-23C0-413F-84D0-9FEF154F145A}" name="Fruits"/>
    <tableColumn id="10" xr3:uid="{7B4DF46E-1F77-40CF-8089-2E1C9A5F6160}" name="Vegetables"/>
    <tableColumn id="11" xr3:uid="{16C7FE4A-A741-4AB4-9C56-0B03CDF7B9DB}" name="Pulses and products"/>
    <tableColumn id="12" xr3:uid="{6C36CA9B-131F-4DAB-9DB2-BC7DBC25977D}" name="Sugar and Confectionery"/>
    <tableColumn id="13" xr3:uid="{653C76CD-10C6-4078-9B87-290EEB02FF6D}" name="Spices"/>
    <tableColumn id="14" xr3:uid="{5250DC61-66D8-4236-9717-5C84D471E2A6}" name="Non-alcoholic beverages"/>
    <tableColumn id="15" xr3:uid="{9D69B8A0-93D4-436F-84CD-23BABC3DE30B}" name="Prepared meals, snacks, sweets etc."/>
    <tableColumn id="16" xr3:uid="{BE0ED726-F11B-4506-81D3-5A3409130721}" name="Food and beverages"/>
    <tableColumn id="17" xr3:uid="{89F2455B-B8E8-4645-8E4E-C495A4E11528}" name="Pan, tobacco and intoxicants"/>
    <tableColumn id="18" xr3:uid="{6F432A6B-E392-437B-B8A3-AF020BCE6E58}" name="Clothing"/>
    <tableColumn id="19" xr3:uid="{C79AEE09-4067-4987-A75E-05E598FD1D72}" name="Footwear"/>
    <tableColumn id="20" xr3:uid="{EED3B1D5-0CD4-45E9-82D6-1CE2195B7F09}" name="Clothing and footwear"/>
    <tableColumn id="21" xr3:uid="{4545605F-E952-4E83-9FFD-D34BB907A048}" name="Housing"/>
    <tableColumn id="22" xr3:uid="{D7F75713-7514-43D9-9CA3-5DA0C56E8D96}" name="Fuel and light"/>
    <tableColumn id="23" xr3:uid="{1051D34A-5AF4-4272-9F37-C4C0A3A89264}" name="Household goods and services"/>
    <tableColumn id="24" xr3:uid="{F906B876-7918-4DE5-82CA-152115B6E55D}" name="Health"/>
    <tableColumn id="25" xr3:uid="{34E4048E-265E-44BD-AB15-603A1C3F8282}" name="Transport and communication"/>
    <tableColumn id="26" xr3:uid="{742403B0-9395-4566-94AC-32E5F79139B2}" name="Recreation and amusement"/>
    <tableColumn id="27" xr3:uid="{C096E160-A01E-4619-8427-343A0DB01E4A}" name="Education"/>
    <tableColumn id="28" xr3:uid="{0CAAD368-1ECC-4D9D-9E1E-3FB4D8454F51}" name="Personal care and effects"/>
    <tableColumn id="29" xr3:uid="{824950B9-3B82-4266-A6AB-CAC5AD435F2D}" name="Miscellaneous"/>
    <tableColumn id="30" xr3:uid="{BFD5844B-372A-4FA4-9298-4D9CCA0C270E}" name="General 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7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19.xml"/><Relationship Id="rId7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8E41-002F-4376-BF61-52379DE420FE}">
  <dimension ref="A1:AD373"/>
  <sheetViews>
    <sheetView tabSelected="1" zoomScale="93" workbookViewId="0">
      <selection activeCell="N12" sqref="N12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9.77734375" bestFit="1" customWidth="1"/>
    <col min="4" max="4" width="20.5546875" customWidth="1"/>
    <col min="5" max="5" width="14.44140625" customWidth="1"/>
    <col min="6" max="6" width="6" bestFit="1" customWidth="1"/>
    <col min="7" max="7" width="18" customWidth="1"/>
    <col min="8" max="8" width="13.21875" bestFit="1" customWidth="1"/>
    <col min="9" max="9" width="7.6640625" bestFit="1" customWidth="1"/>
    <col min="10" max="10" width="12.33203125" customWidth="1"/>
    <col min="11" max="11" width="19.6640625" customWidth="1"/>
    <col min="12" max="12" width="23.44140625" customWidth="1"/>
    <col min="13" max="13" width="8.21875" bestFit="1" customWidth="1"/>
    <col min="14" max="14" width="23.6640625" bestFit="1" customWidth="1"/>
    <col min="15" max="15" width="33.33203125" customWidth="1"/>
    <col min="16" max="16" width="19.77734375" customWidth="1"/>
    <col min="17" max="17" width="26.88671875" bestFit="1" customWidth="1"/>
    <col min="18" max="18" width="9.88671875" bestFit="1" customWidth="1"/>
    <col min="19" max="19" width="11.109375" bestFit="1" customWidth="1"/>
    <col min="20" max="20" width="21.6640625" bestFit="1" customWidth="1"/>
    <col min="21" max="21" width="9.6640625" bestFit="1" customWidth="1"/>
    <col min="22" max="22" width="14.21875" customWidth="1"/>
    <col min="23" max="23" width="28.33203125" customWidth="1"/>
    <col min="24" max="24" width="8.5546875" bestFit="1" customWidth="1"/>
    <col min="25" max="25" width="28.109375" bestFit="1" customWidth="1"/>
    <col min="26" max="26" width="26.33203125" customWidth="1"/>
    <col min="27" max="27" width="11.33203125" bestFit="1" customWidth="1"/>
    <col min="28" max="28" width="24.109375" bestFit="1" customWidth="1"/>
    <col min="29" max="29" width="14.88671875" customWidth="1"/>
    <col min="30" max="30" width="14.6640625" customWidth="1"/>
    <col min="34" max="34" width="12.88671875" customWidth="1"/>
    <col min="35" max="35" width="13.88671875" customWidth="1"/>
    <col min="36" max="36" width="11" customWidth="1"/>
    <col min="37" max="37" width="18.109375" customWidth="1"/>
    <col min="38" max="38" width="12.109375" customWidth="1"/>
    <col min="40" max="40" width="12.5546875" customWidth="1"/>
  </cols>
  <sheetData>
    <row r="1" spans="1:30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 t="s">
        <v>29</v>
      </c>
      <c r="B2">
        <v>2013</v>
      </c>
      <c r="C2" t="s">
        <v>30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31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32</v>
      </c>
      <c r="B3">
        <v>2013</v>
      </c>
      <c r="C3" t="s">
        <v>30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33</v>
      </c>
      <c r="B4">
        <v>2013</v>
      </c>
      <c r="C4" t="s">
        <v>30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29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31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29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31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29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31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29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31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29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31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29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31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29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31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29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31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29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31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29</v>
      </c>
      <c r="B32">
        <v>2013</v>
      </c>
      <c r="C32" t="s">
        <v>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31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32</v>
      </c>
      <c r="B33">
        <v>2013</v>
      </c>
      <c r="C33" t="s">
        <v>43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33</v>
      </c>
      <c r="B34">
        <v>2013</v>
      </c>
      <c r="C34" t="s">
        <v>43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29</v>
      </c>
      <c r="B35">
        <v>2013</v>
      </c>
      <c r="C35" t="s">
        <v>44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31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32</v>
      </c>
      <c r="B36">
        <v>2013</v>
      </c>
      <c r="C36" t="s">
        <v>44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33</v>
      </c>
      <c r="B37">
        <v>2013</v>
      </c>
      <c r="C37" t="s">
        <v>44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29</v>
      </c>
      <c r="B38">
        <v>2014</v>
      </c>
      <c r="C38" t="s">
        <v>30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31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32</v>
      </c>
      <c r="B39">
        <v>2014</v>
      </c>
      <c r="C39" t="s">
        <v>30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33</v>
      </c>
      <c r="B40">
        <v>2014</v>
      </c>
      <c r="C40" t="s">
        <v>30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29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31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29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31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33</v>
      </c>
      <c r="B46">
        <v>2014</v>
      </c>
      <c r="C46" t="s">
        <v>35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29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31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29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31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29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31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29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31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29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31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29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31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29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31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29</v>
      </c>
      <c r="B68">
        <v>2014</v>
      </c>
      <c r="C68" t="s">
        <v>43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31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32</v>
      </c>
      <c r="B69">
        <v>2014</v>
      </c>
      <c r="C69" t="s">
        <v>43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33</v>
      </c>
      <c r="B70">
        <v>2014</v>
      </c>
      <c r="C70" t="s">
        <v>43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29</v>
      </c>
      <c r="B71">
        <v>2014</v>
      </c>
      <c r="C71" t="s">
        <v>44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31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32</v>
      </c>
      <c r="B72">
        <v>2014</v>
      </c>
      <c r="C72" t="s">
        <v>44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33</v>
      </c>
      <c r="B73">
        <v>2014</v>
      </c>
      <c r="C73" t="s">
        <v>44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29</v>
      </c>
      <c r="B74">
        <v>2015</v>
      </c>
      <c r="C74" t="s">
        <v>30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31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32</v>
      </c>
      <c r="B75">
        <v>2015</v>
      </c>
      <c r="C75" t="s">
        <v>30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33</v>
      </c>
      <c r="B76">
        <v>2015</v>
      </c>
      <c r="C76" t="s">
        <v>30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29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31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29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31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29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31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29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31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29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31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29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31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29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31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29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31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29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31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29</v>
      </c>
      <c r="B104">
        <v>2015</v>
      </c>
      <c r="C104" t="s">
        <v>43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31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32</v>
      </c>
      <c r="B105">
        <v>2015</v>
      </c>
      <c r="C105" t="s">
        <v>43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33</v>
      </c>
      <c r="B106">
        <v>2015</v>
      </c>
      <c r="C106" t="s">
        <v>43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29</v>
      </c>
      <c r="B107">
        <v>2015</v>
      </c>
      <c r="C107" t="s">
        <v>44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31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32</v>
      </c>
      <c r="B108">
        <v>2015</v>
      </c>
      <c r="C108" t="s">
        <v>44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33</v>
      </c>
      <c r="B109">
        <v>2015</v>
      </c>
      <c r="C109" t="s">
        <v>44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29</v>
      </c>
      <c r="B110">
        <v>2016</v>
      </c>
      <c r="C110" t="s">
        <v>30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31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32</v>
      </c>
      <c r="B111">
        <v>2016</v>
      </c>
      <c r="C111" t="s">
        <v>30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33</v>
      </c>
      <c r="B112">
        <v>2016</v>
      </c>
      <c r="C112" t="s">
        <v>30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29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31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29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31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29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31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29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31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29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31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29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31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29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31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29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31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29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31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29</v>
      </c>
      <c r="B140">
        <v>2016</v>
      </c>
      <c r="C140" t="s">
        <v>43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31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32</v>
      </c>
      <c r="B141">
        <v>2016</v>
      </c>
      <c r="C141" t="s">
        <v>43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33</v>
      </c>
      <c r="B142">
        <v>2016</v>
      </c>
      <c r="C142" t="s">
        <v>43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29</v>
      </c>
      <c r="B143">
        <v>2016</v>
      </c>
      <c r="C143" t="s">
        <v>44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31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32</v>
      </c>
      <c r="B144">
        <v>2016</v>
      </c>
      <c r="C144" t="s">
        <v>44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33</v>
      </c>
      <c r="B145">
        <v>2016</v>
      </c>
      <c r="C145" t="s">
        <v>44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29</v>
      </c>
      <c r="B146">
        <v>2017</v>
      </c>
      <c r="C146" t="s">
        <v>30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31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32</v>
      </c>
      <c r="B147">
        <v>2017</v>
      </c>
      <c r="C147" t="s">
        <v>30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33</v>
      </c>
      <c r="B148">
        <v>2017</v>
      </c>
      <c r="C148" t="s">
        <v>30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29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31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29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29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31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29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31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29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31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29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31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29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31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29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31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29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31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29</v>
      </c>
      <c r="B176">
        <v>2017</v>
      </c>
      <c r="C176" t="s">
        <v>43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31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32</v>
      </c>
      <c r="B177">
        <v>2017</v>
      </c>
      <c r="C177" t="s">
        <v>43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33</v>
      </c>
      <c r="B178">
        <v>2017</v>
      </c>
      <c r="C178" t="s">
        <v>43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29</v>
      </c>
      <c r="B179">
        <v>2017</v>
      </c>
      <c r="C179" t="s">
        <v>44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31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32</v>
      </c>
      <c r="B180">
        <v>2017</v>
      </c>
      <c r="C180" t="s">
        <v>44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33</v>
      </c>
      <c r="B181">
        <v>2017</v>
      </c>
      <c r="C181" t="s">
        <v>44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29</v>
      </c>
      <c r="B182">
        <v>2018</v>
      </c>
      <c r="C182" t="s">
        <v>30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31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32</v>
      </c>
      <c r="B183">
        <v>2018</v>
      </c>
      <c r="C183" t="s">
        <v>30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33</v>
      </c>
      <c r="B184">
        <v>2018</v>
      </c>
      <c r="C184" t="s">
        <v>30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29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31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29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31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29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31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29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31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29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31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29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31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29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31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29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31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29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29</v>
      </c>
      <c r="B212">
        <v>2018</v>
      </c>
      <c r="C212" t="s">
        <v>43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31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32</v>
      </c>
      <c r="B213">
        <v>2018</v>
      </c>
      <c r="C213" t="s">
        <v>43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33</v>
      </c>
      <c r="B214">
        <v>2018</v>
      </c>
      <c r="C214" t="s">
        <v>43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29</v>
      </c>
      <c r="B215">
        <v>2018</v>
      </c>
      <c r="C215" t="s">
        <v>44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31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32</v>
      </c>
      <c r="B216">
        <v>2018</v>
      </c>
      <c r="C216" t="s">
        <v>44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33</v>
      </c>
      <c r="B217">
        <v>2018</v>
      </c>
      <c r="C217" t="s">
        <v>44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29</v>
      </c>
      <c r="B218">
        <v>2019</v>
      </c>
      <c r="C218" t="s">
        <v>30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31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32</v>
      </c>
      <c r="B219">
        <v>2019</v>
      </c>
      <c r="C219" t="s">
        <v>30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33</v>
      </c>
      <c r="B220">
        <v>2019</v>
      </c>
      <c r="C220" t="s">
        <v>30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29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31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29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31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29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29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31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29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31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29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31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29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31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29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31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29</v>
      </c>
      <c r="B245">
        <v>2019</v>
      </c>
      <c r="C245" t="s">
        <v>43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31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32</v>
      </c>
      <c r="B246">
        <v>2019</v>
      </c>
      <c r="C246" t="s">
        <v>43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33</v>
      </c>
      <c r="B247">
        <v>2019</v>
      </c>
      <c r="C247" t="s">
        <v>43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29</v>
      </c>
      <c r="B248">
        <v>2019</v>
      </c>
      <c r="C248" t="s">
        <v>44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31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32</v>
      </c>
      <c r="B249">
        <v>2019</v>
      </c>
      <c r="C249" t="s">
        <v>44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33</v>
      </c>
      <c r="B250">
        <v>2019</v>
      </c>
      <c r="C250" t="s">
        <v>44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29</v>
      </c>
      <c r="B251">
        <v>2020</v>
      </c>
      <c r="C251" t="s">
        <v>30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31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32</v>
      </c>
      <c r="B252">
        <v>2020</v>
      </c>
      <c r="C252" t="s">
        <v>30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33</v>
      </c>
      <c r="B253">
        <v>2020</v>
      </c>
      <c r="C253" t="s">
        <v>30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29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31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29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31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29</v>
      </c>
      <c r="B260">
        <v>2020</v>
      </c>
      <c r="C260" t="s">
        <v>36</v>
      </c>
      <c r="D260">
        <v>147.19999999999999</v>
      </c>
      <c r="E260" t="s">
        <v>31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31</v>
      </c>
      <c r="P260">
        <v>150.1</v>
      </c>
      <c r="Q260" t="s">
        <v>31</v>
      </c>
      <c r="R260" t="s">
        <v>31</v>
      </c>
      <c r="S260" t="s">
        <v>31</v>
      </c>
      <c r="T260" t="s">
        <v>31</v>
      </c>
      <c r="U260" t="s">
        <v>31</v>
      </c>
      <c r="V260">
        <v>148.4</v>
      </c>
      <c r="W260" t="s">
        <v>31</v>
      </c>
      <c r="X260">
        <v>154.30000000000001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31</v>
      </c>
    </row>
    <row r="261" spans="1:30" x14ac:dyDescent="0.3">
      <c r="A261" t="s">
        <v>32</v>
      </c>
      <c r="B261">
        <v>2020</v>
      </c>
      <c r="C261" t="s">
        <v>36</v>
      </c>
      <c r="D261">
        <v>151.80000000000001</v>
      </c>
      <c r="E261" t="s">
        <v>31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31</v>
      </c>
      <c r="P261">
        <v>153.5</v>
      </c>
      <c r="Q261" t="s">
        <v>31</v>
      </c>
      <c r="R261" t="s">
        <v>31</v>
      </c>
      <c r="S261" t="s">
        <v>31</v>
      </c>
      <c r="T261" t="s">
        <v>31</v>
      </c>
      <c r="U261">
        <v>155.6</v>
      </c>
      <c r="V261">
        <v>137.1</v>
      </c>
      <c r="W261" t="s">
        <v>31</v>
      </c>
      <c r="X261">
        <v>144.80000000000001</v>
      </c>
      <c r="Y261" t="s">
        <v>31</v>
      </c>
      <c r="Z261" t="s">
        <v>31</v>
      </c>
      <c r="AA261" t="s">
        <v>31</v>
      </c>
      <c r="AB261" t="s">
        <v>31</v>
      </c>
      <c r="AC261" t="s">
        <v>31</v>
      </c>
      <c r="AD261" t="s">
        <v>31</v>
      </c>
    </row>
    <row r="262" spans="1:30" x14ac:dyDescent="0.3">
      <c r="A262" t="s">
        <v>33</v>
      </c>
      <c r="B262">
        <v>2020</v>
      </c>
      <c r="C262" t="s">
        <v>36</v>
      </c>
      <c r="D262">
        <v>148.69999999999999</v>
      </c>
      <c r="E262" t="s">
        <v>31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31</v>
      </c>
      <c r="P262">
        <v>151.4</v>
      </c>
      <c r="Q262" t="s">
        <v>31</v>
      </c>
      <c r="R262" t="s">
        <v>31</v>
      </c>
      <c r="S262" t="s">
        <v>31</v>
      </c>
      <c r="T262" t="s">
        <v>31</v>
      </c>
      <c r="U262">
        <v>155.6</v>
      </c>
      <c r="V262">
        <v>144.1</v>
      </c>
      <c r="W262" t="s">
        <v>31</v>
      </c>
      <c r="X262">
        <v>150.69999999999999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31</v>
      </c>
    </row>
    <row r="263" spans="1:30" x14ac:dyDescent="0.3">
      <c r="A263" t="s">
        <v>29</v>
      </c>
      <c r="B263">
        <v>2020</v>
      </c>
      <c r="C263" t="s">
        <v>37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31</v>
      </c>
      <c r="Y263" t="s">
        <v>31</v>
      </c>
      <c r="Z263" t="s">
        <v>31</v>
      </c>
      <c r="AA263" t="s">
        <v>31</v>
      </c>
      <c r="AB263" t="s">
        <v>31</v>
      </c>
      <c r="AC263" t="s">
        <v>31</v>
      </c>
      <c r="AD263" t="s">
        <v>31</v>
      </c>
    </row>
    <row r="264" spans="1:30" x14ac:dyDescent="0.3">
      <c r="A264" t="s">
        <v>32</v>
      </c>
      <c r="B264">
        <v>2020</v>
      </c>
      <c r="C264" t="s">
        <v>37</v>
      </c>
      <c r="D264" t="s">
        <v>31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31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31</v>
      </c>
    </row>
    <row r="265" spans="1:30" x14ac:dyDescent="0.3">
      <c r="A265" t="s">
        <v>33</v>
      </c>
      <c r="B265">
        <v>2020</v>
      </c>
      <c r="C265" t="s">
        <v>37</v>
      </c>
      <c r="D265" t="s">
        <v>31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31</v>
      </c>
      <c r="Y265" t="s">
        <v>31</v>
      </c>
      <c r="Z265" t="s">
        <v>31</v>
      </c>
      <c r="AA265" t="s">
        <v>31</v>
      </c>
      <c r="AB265" t="s">
        <v>31</v>
      </c>
      <c r="AC265" t="s">
        <v>31</v>
      </c>
      <c r="AD265" t="s">
        <v>31</v>
      </c>
    </row>
    <row r="266" spans="1:30" x14ac:dyDescent="0.3">
      <c r="A266" t="s">
        <v>29</v>
      </c>
      <c r="B266">
        <v>2020</v>
      </c>
      <c r="C266" t="s">
        <v>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31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32</v>
      </c>
      <c r="B267">
        <v>2020</v>
      </c>
      <c r="C267" t="s">
        <v>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33</v>
      </c>
      <c r="B268">
        <v>2020</v>
      </c>
      <c r="C268" t="s">
        <v>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29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31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32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33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29</v>
      </c>
      <c r="B272">
        <v>2020</v>
      </c>
      <c r="C272" t="s">
        <v>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31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32</v>
      </c>
      <c r="B273">
        <v>2020</v>
      </c>
      <c r="C273" t="s">
        <v>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33</v>
      </c>
      <c r="B274">
        <v>2020</v>
      </c>
      <c r="C274" t="s">
        <v>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29</v>
      </c>
      <c r="B275">
        <v>2020</v>
      </c>
      <c r="C275" t="s">
        <v>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31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32</v>
      </c>
      <c r="B276">
        <v>2020</v>
      </c>
      <c r="C276" t="s">
        <v>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33</v>
      </c>
      <c r="B277">
        <v>2020</v>
      </c>
      <c r="C277" t="s">
        <v>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29</v>
      </c>
      <c r="B278">
        <v>2020</v>
      </c>
      <c r="C278" t="s">
        <v>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31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32</v>
      </c>
      <c r="B279">
        <v>2020</v>
      </c>
      <c r="C279" t="s">
        <v>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33</v>
      </c>
      <c r="B280">
        <v>2020</v>
      </c>
      <c r="C280" t="s">
        <v>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29</v>
      </c>
      <c r="B281">
        <v>2020</v>
      </c>
      <c r="C281" t="s">
        <v>43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31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32</v>
      </c>
      <c r="B282">
        <v>2020</v>
      </c>
      <c r="C282" t="s">
        <v>43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33</v>
      </c>
      <c r="B283">
        <v>2020</v>
      </c>
      <c r="C283" t="s">
        <v>43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29</v>
      </c>
      <c r="B284">
        <v>2020</v>
      </c>
      <c r="C284" t="s">
        <v>44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31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32</v>
      </c>
      <c r="B285">
        <v>2020</v>
      </c>
      <c r="C285" t="s">
        <v>44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33</v>
      </c>
      <c r="B286">
        <v>2020</v>
      </c>
      <c r="C286" t="s">
        <v>44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29</v>
      </c>
      <c r="B287">
        <v>2021</v>
      </c>
      <c r="C287" t="s">
        <v>30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31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32</v>
      </c>
      <c r="B288">
        <v>2021</v>
      </c>
      <c r="C288" t="s">
        <v>30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33</v>
      </c>
      <c r="B289">
        <v>2021</v>
      </c>
      <c r="C289" t="s">
        <v>30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29</v>
      </c>
      <c r="B290">
        <v>2021</v>
      </c>
      <c r="C290" t="s">
        <v>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31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32</v>
      </c>
      <c r="B291">
        <v>2021</v>
      </c>
      <c r="C291" t="s">
        <v>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33</v>
      </c>
      <c r="B292">
        <v>2021</v>
      </c>
      <c r="C292" t="s">
        <v>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29</v>
      </c>
      <c r="B293">
        <v>2021</v>
      </c>
      <c r="C293" t="s">
        <v>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31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32</v>
      </c>
      <c r="B294">
        <v>2021</v>
      </c>
      <c r="C294" t="s">
        <v>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33</v>
      </c>
      <c r="B295">
        <v>2021</v>
      </c>
      <c r="C295" t="s">
        <v>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29</v>
      </c>
      <c r="B296">
        <v>2021</v>
      </c>
      <c r="C296" t="s">
        <v>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31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32</v>
      </c>
      <c r="B297">
        <v>2021</v>
      </c>
      <c r="C297" t="s">
        <v>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33</v>
      </c>
      <c r="B298">
        <v>2021</v>
      </c>
      <c r="C298" t="s">
        <v>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29</v>
      </c>
      <c r="B299">
        <v>2021</v>
      </c>
      <c r="C299" t="s">
        <v>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31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32</v>
      </c>
      <c r="B300">
        <v>2021</v>
      </c>
      <c r="C300" t="s">
        <v>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33</v>
      </c>
      <c r="B301">
        <v>2021</v>
      </c>
      <c r="C301" t="s">
        <v>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29</v>
      </c>
      <c r="B302">
        <v>2021</v>
      </c>
      <c r="C302" t="s">
        <v>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31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32</v>
      </c>
      <c r="B303">
        <v>2021</v>
      </c>
      <c r="C303" t="s">
        <v>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33</v>
      </c>
      <c r="B304">
        <v>2021</v>
      </c>
      <c r="C304" t="s">
        <v>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29</v>
      </c>
      <c r="B305">
        <v>2021</v>
      </c>
      <c r="C305" t="s">
        <v>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31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32</v>
      </c>
      <c r="B306">
        <v>2021</v>
      </c>
      <c r="C306" t="s">
        <v>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33</v>
      </c>
      <c r="B307">
        <v>2021</v>
      </c>
      <c r="C307" t="s">
        <v>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29</v>
      </c>
      <c r="B308">
        <v>2021</v>
      </c>
      <c r="C308" t="s">
        <v>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32</v>
      </c>
      <c r="B309">
        <v>2021</v>
      </c>
      <c r="C309" t="s">
        <v>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33</v>
      </c>
      <c r="B310">
        <v>2021</v>
      </c>
      <c r="C310" t="s">
        <v>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29</v>
      </c>
      <c r="B311">
        <v>2021</v>
      </c>
      <c r="C311" t="s">
        <v>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32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33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29</v>
      </c>
      <c r="B314">
        <v>2021</v>
      </c>
      <c r="C314" t="s">
        <v>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31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32</v>
      </c>
      <c r="B315">
        <v>2021</v>
      </c>
      <c r="C315" t="s">
        <v>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33</v>
      </c>
      <c r="B316">
        <v>2021</v>
      </c>
      <c r="C316" t="s">
        <v>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29</v>
      </c>
      <c r="B317">
        <v>2021</v>
      </c>
      <c r="C317" t="s">
        <v>43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31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32</v>
      </c>
      <c r="B318">
        <v>2021</v>
      </c>
      <c r="C318" t="s">
        <v>43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33</v>
      </c>
      <c r="B319">
        <v>2021</v>
      </c>
      <c r="C319" t="s">
        <v>43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29</v>
      </c>
      <c r="B320">
        <v>2021</v>
      </c>
      <c r="C320" t="s">
        <v>44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31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32</v>
      </c>
      <c r="B321">
        <v>2021</v>
      </c>
      <c r="C321" t="s">
        <v>44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33</v>
      </c>
      <c r="B322">
        <v>2021</v>
      </c>
      <c r="C322" t="s">
        <v>44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29</v>
      </c>
      <c r="B323">
        <v>2022</v>
      </c>
      <c r="C323" t="s">
        <v>30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31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32</v>
      </c>
      <c r="B324">
        <v>2022</v>
      </c>
      <c r="C324" t="s">
        <v>30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33</v>
      </c>
      <c r="B325">
        <v>2022</v>
      </c>
      <c r="C325" t="s">
        <v>30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29</v>
      </c>
      <c r="B326">
        <v>2022</v>
      </c>
      <c r="C326" t="s">
        <v>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31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32</v>
      </c>
      <c r="B327">
        <v>2022</v>
      </c>
      <c r="C327" t="s">
        <v>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33</v>
      </c>
      <c r="B328">
        <v>2022</v>
      </c>
      <c r="C328" t="s">
        <v>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29</v>
      </c>
      <c r="B329">
        <v>2022</v>
      </c>
      <c r="C329" t="s">
        <v>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31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32</v>
      </c>
      <c r="B330">
        <v>2022</v>
      </c>
      <c r="C330" t="s">
        <v>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33</v>
      </c>
      <c r="B331">
        <v>2022</v>
      </c>
      <c r="C331" t="s">
        <v>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29</v>
      </c>
      <c r="B332">
        <v>2022</v>
      </c>
      <c r="C332" t="s">
        <v>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31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32</v>
      </c>
      <c r="B333">
        <v>2022</v>
      </c>
      <c r="C333" t="s">
        <v>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33</v>
      </c>
      <c r="B334">
        <v>2022</v>
      </c>
      <c r="C334" t="s">
        <v>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29</v>
      </c>
      <c r="B335">
        <v>2022</v>
      </c>
      <c r="C335" t="s">
        <v>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31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32</v>
      </c>
      <c r="B336">
        <v>2022</v>
      </c>
      <c r="C336" t="s">
        <v>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33</v>
      </c>
      <c r="B337">
        <v>2022</v>
      </c>
      <c r="C337" t="s">
        <v>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29</v>
      </c>
      <c r="B338">
        <v>2022</v>
      </c>
      <c r="C338" t="s">
        <v>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31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32</v>
      </c>
      <c r="B339">
        <v>2022</v>
      </c>
      <c r="C339" t="s">
        <v>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33</v>
      </c>
      <c r="B340">
        <v>2022</v>
      </c>
      <c r="C340" t="s">
        <v>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29</v>
      </c>
      <c r="B341">
        <v>2022</v>
      </c>
      <c r="C341" t="s">
        <v>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31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32</v>
      </c>
      <c r="B342">
        <v>2022</v>
      </c>
      <c r="C342" t="s">
        <v>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33</v>
      </c>
      <c r="B343">
        <v>2022</v>
      </c>
      <c r="C343" t="s">
        <v>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29</v>
      </c>
      <c r="B344">
        <v>2022</v>
      </c>
      <c r="C344" t="s">
        <v>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31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32</v>
      </c>
      <c r="B345">
        <v>2022</v>
      </c>
      <c r="C345" t="s">
        <v>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33</v>
      </c>
      <c r="B346">
        <v>2022</v>
      </c>
      <c r="C346" t="s">
        <v>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29</v>
      </c>
      <c r="B347">
        <v>2022</v>
      </c>
      <c r="C347" t="s">
        <v>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31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32</v>
      </c>
      <c r="B348">
        <v>2022</v>
      </c>
      <c r="C348" t="s">
        <v>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33</v>
      </c>
      <c r="B349">
        <v>2022</v>
      </c>
      <c r="C349" t="s">
        <v>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29</v>
      </c>
      <c r="B350">
        <v>2022</v>
      </c>
      <c r="C350" t="s">
        <v>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31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32</v>
      </c>
      <c r="B351">
        <v>2022</v>
      </c>
      <c r="C351" t="s">
        <v>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33</v>
      </c>
      <c r="B352">
        <v>2022</v>
      </c>
      <c r="C352" t="s">
        <v>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29</v>
      </c>
      <c r="B353">
        <v>2022</v>
      </c>
      <c r="C353" t="s">
        <v>43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31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32</v>
      </c>
      <c r="B354">
        <v>2022</v>
      </c>
      <c r="C354" t="s">
        <v>43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33</v>
      </c>
      <c r="B355">
        <v>2022</v>
      </c>
      <c r="C355" t="s">
        <v>43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29</v>
      </c>
      <c r="B356">
        <v>2022</v>
      </c>
      <c r="C356" t="s">
        <v>44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31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32</v>
      </c>
      <c r="B357">
        <v>2022</v>
      </c>
      <c r="C357" t="s">
        <v>44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33</v>
      </c>
      <c r="B358">
        <v>2022</v>
      </c>
      <c r="C358" t="s">
        <v>44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29</v>
      </c>
      <c r="B359">
        <v>2023</v>
      </c>
      <c r="C359" t="s">
        <v>30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31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32</v>
      </c>
      <c r="B360">
        <v>2023</v>
      </c>
      <c r="C360" t="s">
        <v>30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33</v>
      </c>
      <c r="B361">
        <v>2023</v>
      </c>
      <c r="C361" t="s">
        <v>30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29</v>
      </c>
      <c r="B362">
        <v>2023</v>
      </c>
      <c r="C362" t="s">
        <v>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31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32</v>
      </c>
      <c r="B363">
        <v>2023</v>
      </c>
      <c r="C363" t="s">
        <v>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33</v>
      </c>
      <c r="B364">
        <v>2023</v>
      </c>
      <c r="C364" t="s">
        <v>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29</v>
      </c>
      <c r="B365">
        <v>2023</v>
      </c>
      <c r="C365" t="s">
        <v>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31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32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33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29</v>
      </c>
      <c r="B368">
        <v>2023</v>
      </c>
      <c r="C368" t="s">
        <v>36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31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32</v>
      </c>
      <c r="B369">
        <v>2023</v>
      </c>
      <c r="C369" t="s">
        <v>36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33</v>
      </c>
      <c r="B370">
        <v>2023</v>
      </c>
      <c r="C370" t="s">
        <v>36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29</v>
      </c>
      <c r="B371">
        <v>2023</v>
      </c>
      <c r="C371" t="s">
        <v>37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31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32</v>
      </c>
      <c r="B372">
        <v>2023</v>
      </c>
      <c r="C372" t="s">
        <v>37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33</v>
      </c>
      <c r="B373">
        <v>2023</v>
      </c>
      <c r="C373" t="s">
        <v>37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D2C5-F1A6-436D-9322-1B056034FFBC}">
  <dimension ref="A2:L43"/>
  <sheetViews>
    <sheetView zoomScale="88" workbookViewId="0">
      <selection activeCell="F27" sqref="F27"/>
    </sheetView>
  </sheetViews>
  <sheetFormatPr defaultRowHeight="14.4" x14ac:dyDescent="0.3"/>
  <cols>
    <col min="1" max="1" width="24.6640625" bestFit="1" customWidth="1"/>
    <col min="2" max="2" width="32.21875" bestFit="1" customWidth="1"/>
    <col min="3" max="3" width="26.21875" customWidth="1"/>
    <col min="4" max="4" width="18.44140625" customWidth="1"/>
    <col min="5" max="5" width="19.21875" customWidth="1"/>
    <col min="6" max="6" width="16.21875" bestFit="1" customWidth="1"/>
    <col min="7" max="7" width="16.21875" customWidth="1"/>
    <col min="8" max="10" width="16.21875" bestFit="1" customWidth="1"/>
    <col min="11" max="11" width="14.33203125" customWidth="1"/>
    <col min="12" max="18" width="32.21875" bestFit="1" customWidth="1"/>
    <col min="19" max="19" width="29.5546875" bestFit="1" customWidth="1"/>
    <col min="20" max="20" width="37" bestFit="1" customWidth="1"/>
    <col min="21" max="21" width="31.44140625" bestFit="1" customWidth="1"/>
    <col min="22" max="22" width="23.6640625" bestFit="1" customWidth="1"/>
    <col min="23" max="23" width="24.33203125" bestFit="1" customWidth="1"/>
    <col min="24" max="24" width="19.109375" bestFit="1" customWidth="1"/>
  </cols>
  <sheetData>
    <row r="2" spans="1:7" x14ac:dyDescent="0.3">
      <c r="A2" s="1" t="s">
        <v>0</v>
      </c>
      <c r="B2" s="2">
        <v>2023</v>
      </c>
    </row>
    <row r="3" spans="1:7" x14ac:dyDescent="0.3">
      <c r="A3" s="1" t="s">
        <v>1</v>
      </c>
      <c r="B3" t="s">
        <v>37</v>
      </c>
    </row>
    <row r="4" spans="1:7" x14ac:dyDescent="0.3">
      <c r="A4" s="1" t="s">
        <v>45</v>
      </c>
      <c r="B4" t="s">
        <v>29</v>
      </c>
    </row>
    <row r="6" spans="1:7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</row>
    <row r="7" spans="1:7" x14ac:dyDescent="0.3">
      <c r="A7">
        <v>176.8</v>
      </c>
      <c r="B7">
        <v>199.9</v>
      </c>
      <c r="C7">
        <v>190.8</v>
      </c>
      <c r="D7">
        <v>182.5</v>
      </c>
      <c r="E7">
        <v>179.5</v>
      </c>
      <c r="F7">
        <v>0</v>
      </c>
    </row>
    <row r="8" spans="1:7" s="5" customFormat="1" ht="15.6" x14ac:dyDescent="0.3">
      <c r="A8" s="22">
        <f>A$7/SUM(A$7:F$7)</f>
        <v>0.19020979020979023</v>
      </c>
      <c r="B8" s="22">
        <f>B7/SUM($A$7:$F$7)</f>
        <v>0.21506186121570739</v>
      </c>
      <c r="C8" s="22">
        <f t="shared" ref="C8:E8" si="0">C7/SUM($A$7:$F$7)</f>
        <v>0.20527165142549758</v>
      </c>
      <c r="D8" s="22">
        <f t="shared" si="0"/>
        <v>0.1963421194190425</v>
      </c>
      <c r="E8" s="22">
        <f t="shared" si="0"/>
        <v>0.19311457772996235</v>
      </c>
      <c r="F8" s="22">
        <f>F7/SUM($A$7:$F$7)</f>
        <v>0</v>
      </c>
      <c r="G8" s="48" t="s">
        <v>80</v>
      </c>
    </row>
    <row r="11" spans="1:7" x14ac:dyDescent="0.3">
      <c r="A11" s="1" t="s">
        <v>0</v>
      </c>
      <c r="B11" s="2">
        <v>2023</v>
      </c>
    </row>
    <row r="12" spans="1:7" x14ac:dyDescent="0.3">
      <c r="A12" s="1" t="s">
        <v>1</v>
      </c>
      <c r="B12" t="s">
        <v>37</v>
      </c>
    </row>
    <row r="13" spans="1:7" x14ac:dyDescent="0.3">
      <c r="A13" s="1" t="s">
        <v>45</v>
      </c>
      <c r="B13" t="s">
        <v>32</v>
      </c>
    </row>
    <row r="15" spans="1:7" x14ac:dyDescent="0.3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</row>
    <row r="16" spans="1:7" x14ac:dyDescent="0.3">
      <c r="A16">
        <v>183.1</v>
      </c>
      <c r="B16">
        <v>204.2</v>
      </c>
      <c r="C16">
        <v>179.3</v>
      </c>
      <c r="D16">
        <v>183.4</v>
      </c>
      <c r="E16">
        <v>171.6</v>
      </c>
      <c r="F16">
        <v>175.6</v>
      </c>
    </row>
    <row r="17" spans="1:12" s="5" customFormat="1" ht="15.6" x14ac:dyDescent="0.3">
      <c r="A17" s="22">
        <f>A16/SUM($A$16:$F$16)</f>
        <v>0.16687932920160412</v>
      </c>
      <c r="B17" s="22">
        <f t="shared" ref="B17:F17" si="1">B16/SUM($A$16:$F$16)</f>
        <v>0.18611009843237333</v>
      </c>
      <c r="C17" s="22">
        <f t="shared" si="1"/>
        <v>0.16341596791833762</v>
      </c>
      <c r="D17" s="22">
        <f t="shared" si="1"/>
        <v>0.16715275246080938</v>
      </c>
      <c r="E17" s="22">
        <f t="shared" si="1"/>
        <v>0.15639810426540288</v>
      </c>
      <c r="F17" s="22">
        <f t="shared" si="1"/>
        <v>0.16004374772147287</v>
      </c>
      <c r="G17" s="48" t="s">
        <v>80</v>
      </c>
      <c r="H17" s="21"/>
      <c r="L17"/>
    </row>
    <row r="20" spans="1:12" x14ac:dyDescent="0.3">
      <c r="A20" s="1" t="s">
        <v>0</v>
      </c>
      <c r="B20" s="2">
        <v>2023</v>
      </c>
    </row>
    <row r="21" spans="1:12" x14ac:dyDescent="0.3">
      <c r="A21" s="1" t="s">
        <v>1</v>
      </c>
      <c r="B21" t="s">
        <v>37</v>
      </c>
    </row>
    <row r="22" spans="1:12" x14ac:dyDescent="0.3">
      <c r="A22" s="1" t="s">
        <v>45</v>
      </c>
      <c r="B22" t="s">
        <v>33</v>
      </c>
    </row>
    <row r="24" spans="1:12" x14ac:dyDescent="0.3">
      <c r="A24" t="s">
        <v>48</v>
      </c>
      <c r="B24" t="s">
        <v>49</v>
      </c>
      <c r="C24" t="s">
        <v>50</v>
      </c>
      <c r="D24" t="s">
        <v>51</v>
      </c>
      <c r="E24" t="s">
        <v>52</v>
      </c>
      <c r="F24" t="s">
        <v>53</v>
      </c>
    </row>
    <row r="25" spans="1:12" x14ac:dyDescent="0.3">
      <c r="A25">
        <v>179.1</v>
      </c>
      <c r="B25">
        <v>201</v>
      </c>
      <c r="C25">
        <v>186.2</v>
      </c>
      <c r="D25">
        <v>182.8</v>
      </c>
      <c r="E25">
        <v>175.7</v>
      </c>
      <c r="F25">
        <v>175.6</v>
      </c>
    </row>
    <row r="26" spans="1:12" ht="15.6" x14ac:dyDescent="0.3">
      <c r="A26" s="22">
        <f>A25/SUM($A$25:$F$25)</f>
        <v>0.16275899672846239</v>
      </c>
      <c r="B26" s="22">
        <f t="shared" ref="B26:E26" si="2">B25/SUM($A$25:$F$25)</f>
        <v>0.18266085059978193</v>
      </c>
      <c r="C26" s="22">
        <f t="shared" si="2"/>
        <v>0.16921119592875319</v>
      </c>
      <c r="D26" s="22">
        <f t="shared" si="2"/>
        <v>0.16612141039621958</v>
      </c>
      <c r="E26" s="22">
        <f t="shared" si="2"/>
        <v>0.15966921119592875</v>
      </c>
      <c r="F26" s="22">
        <f>F25/SUM($A$25:$F$25)</f>
        <v>0.15957833515085426</v>
      </c>
      <c r="G26" s="48" t="s">
        <v>80</v>
      </c>
      <c r="H26" s="5"/>
      <c r="I26" s="5"/>
      <c r="J26" s="5"/>
      <c r="K26" s="5"/>
    </row>
    <row r="29" spans="1:12" ht="15.6" x14ac:dyDescent="0.3">
      <c r="A29" s="10" t="s">
        <v>65</v>
      </c>
    </row>
    <row r="30" spans="1:12" ht="15.6" x14ac:dyDescent="0.3">
      <c r="A30" s="23" t="s">
        <v>109</v>
      </c>
      <c r="B30" s="29"/>
      <c r="C30" s="29"/>
    </row>
    <row r="31" spans="1:12" ht="15.6" x14ac:dyDescent="0.3">
      <c r="A31" s="23" t="s">
        <v>110</v>
      </c>
      <c r="B31" s="29"/>
      <c r="C31" s="29"/>
    </row>
    <row r="43" spans="3:9" x14ac:dyDescent="0.3">
      <c r="C43" s="21"/>
      <c r="D43" s="21"/>
      <c r="E43" s="21"/>
      <c r="F43" s="21"/>
      <c r="G43" s="21"/>
      <c r="H43" s="21"/>
      <c r="I43" s="21"/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987E-B540-402B-B536-8299988E8C3C}">
  <dimension ref="A2:I37"/>
  <sheetViews>
    <sheetView zoomScale="89" zoomScaleNormal="85" workbookViewId="0">
      <selection activeCell="E28" sqref="E28"/>
    </sheetView>
  </sheetViews>
  <sheetFormatPr defaultRowHeight="14.4" x14ac:dyDescent="0.3"/>
  <cols>
    <col min="1" max="1" width="15.33203125" bestFit="1" customWidth="1"/>
    <col min="2" max="2" width="18.109375" bestFit="1" customWidth="1"/>
    <col min="3" max="3" width="21.21875" customWidth="1"/>
  </cols>
  <sheetData>
    <row r="2" spans="1:3" x14ac:dyDescent="0.3">
      <c r="A2" s="1" t="s">
        <v>46</v>
      </c>
      <c r="B2" t="s">
        <v>82</v>
      </c>
      <c r="C2" s="26" t="s">
        <v>63</v>
      </c>
    </row>
    <row r="3" spans="1:3" x14ac:dyDescent="0.3">
      <c r="A3" s="2" t="s">
        <v>33</v>
      </c>
      <c r="B3" s="6"/>
    </row>
    <row r="4" spans="1:3" x14ac:dyDescent="0.3">
      <c r="A4" s="3">
        <v>2017</v>
      </c>
      <c r="B4" s="6"/>
    </row>
    <row r="5" spans="1:3" x14ac:dyDescent="0.3">
      <c r="A5" s="25" t="s">
        <v>30</v>
      </c>
      <c r="B5" s="6"/>
      <c r="C5">
        <v>130.30000000000001</v>
      </c>
    </row>
    <row r="6" spans="1:3" x14ac:dyDescent="0.3">
      <c r="A6" s="25" t="s">
        <v>44</v>
      </c>
      <c r="B6" s="6">
        <v>5.295471987720627E-2</v>
      </c>
      <c r="C6">
        <v>137.19999999999999</v>
      </c>
    </row>
    <row r="7" spans="1:3" x14ac:dyDescent="0.3">
      <c r="A7" s="3">
        <v>2018</v>
      </c>
      <c r="B7" s="6"/>
    </row>
    <row r="8" spans="1:3" x14ac:dyDescent="0.3">
      <c r="A8" s="25" t="s">
        <v>30</v>
      </c>
      <c r="B8" s="6"/>
      <c r="C8">
        <v>136.9</v>
      </c>
    </row>
    <row r="9" spans="1:3" x14ac:dyDescent="0.3">
      <c r="A9" s="25" t="s">
        <v>44</v>
      </c>
      <c r="B9" s="6">
        <v>2.3374726077428697E-2</v>
      </c>
      <c r="C9">
        <v>140.1</v>
      </c>
    </row>
    <row r="10" spans="1:3" x14ac:dyDescent="0.3">
      <c r="A10" s="3">
        <v>2019</v>
      </c>
      <c r="B10" s="6"/>
    </row>
    <row r="11" spans="1:3" x14ac:dyDescent="0.3">
      <c r="A11" s="25" t="s">
        <v>30</v>
      </c>
      <c r="B11" s="6"/>
      <c r="C11">
        <v>139.6</v>
      </c>
    </row>
    <row r="12" spans="1:3" x14ac:dyDescent="0.3">
      <c r="A12" s="25" t="s">
        <v>44</v>
      </c>
      <c r="B12" s="6">
        <v>7.7363896848137617E-2</v>
      </c>
      <c r="C12">
        <v>150.4</v>
      </c>
    </row>
    <row r="13" spans="1:3" x14ac:dyDescent="0.3">
      <c r="A13" s="3">
        <v>2020</v>
      </c>
      <c r="B13" s="6"/>
    </row>
    <row r="14" spans="1:3" x14ac:dyDescent="0.3">
      <c r="A14" s="25" t="s">
        <v>30</v>
      </c>
      <c r="B14" s="6"/>
      <c r="C14">
        <v>150.19999999999999</v>
      </c>
    </row>
    <row r="15" spans="1:3" x14ac:dyDescent="0.3">
      <c r="A15" s="25" t="s">
        <v>44</v>
      </c>
      <c r="B15" s="6">
        <v>5.7922769640479481E-2</v>
      </c>
      <c r="C15">
        <v>158.9</v>
      </c>
    </row>
    <row r="16" spans="1:3" x14ac:dyDescent="0.3">
      <c r="A16" s="3">
        <v>2021</v>
      </c>
      <c r="B16" s="6"/>
    </row>
    <row r="17" spans="1:9" x14ac:dyDescent="0.3">
      <c r="A17" s="25" t="s">
        <v>30</v>
      </c>
      <c r="B17" s="6"/>
      <c r="C17">
        <v>157.30000000000001</v>
      </c>
    </row>
    <row r="18" spans="1:9" x14ac:dyDescent="0.3">
      <c r="A18" s="25" t="s">
        <v>44</v>
      </c>
      <c r="B18" s="6">
        <v>5.657978385251098E-2</v>
      </c>
      <c r="C18">
        <v>166.2</v>
      </c>
    </row>
    <row r="19" spans="1:9" x14ac:dyDescent="0.3">
      <c r="A19" s="3">
        <v>2022</v>
      </c>
      <c r="B19" s="6"/>
    </row>
    <row r="20" spans="1:9" x14ac:dyDescent="0.3">
      <c r="A20" s="25" t="s">
        <v>30</v>
      </c>
      <c r="B20" s="6"/>
      <c r="C20">
        <v>165.7</v>
      </c>
    </row>
    <row r="21" spans="1:9" x14ac:dyDescent="0.3">
      <c r="A21" s="25" t="s">
        <v>44</v>
      </c>
      <c r="B21" s="6">
        <v>6.0350030175015092E-2</v>
      </c>
      <c r="C21">
        <v>175.7</v>
      </c>
    </row>
    <row r="22" spans="1:9" x14ac:dyDescent="0.3">
      <c r="A22" s="3">
        <v>2023</v>
      </c>
      <c r="B22" s="6"/>
    </row>
    <row r="23" spans="1:9" x14ac:dyDescent="0.3">
      <c r="A23" s="25" t="s">
        <v>30</v>
      </c>
      <c r="B23" s="6"/>
      <c r="C23">
        <v>176.5</v>
      </c>
    </row>
    <row r="24" spans="1:9" x14ac:dyDescent="0.3">
      <c r="A24" s="25" t="s">
        <v>37</v>
      </c>
      <c r="B24" s="6">
        <v>1.4730878186968806E-2</v>
      </c>
      <c r="C24">
        <v>179.1</v>
      </c>
    </row>
    <row r="26" spans="1:9" ht="21" x14ac:dyDescent="0.4">
      <c r="A26" s="11" t="s">
        <v>54</v>
      </c>
    </row>
    <row r="28" spans="1:9" ht="15.6" x14ac:dyDescent="0.3">
      <c r="A28" s="39" t="s">
        <v>128</v>
      </c>
      <c r="B28" s="24"/>
      <c r="C28" s="24"/>
      <c r="D28" s="9"/>
      <c r="E28" s="9"/>
      <c r="F28" s="9"/>
    </row>
    <row r="29" spans="1:9" ht="15.6" x14ac:dyDescent="0.3">
      <c r="A29" s="39" t="s">
        <v>129</v>
      </c>
      <c r="B29" s="24"/>
      <c r="C29" s="24"/>
      <c r="D29" s="9"/>
      <c r="E29" s="9"/>
      <c r="F29" s="9"/>
    </row>
    <row r="30" spans="1:9" ht="15.6" x14ac:dyDescent="0.3">
      <c r="A30" s="23" t="s">
        <v>130</v>
      </c>
      <c r="B30" s="29"/>
      <c r="C30" s="29"/>
    </row>
    <row r="31" spans="1:9" ht="15.6" x14ac:dyDescent="0.3">
      <c r="A31" s="44" t="s">
        <v>131</v>
      </c>
      <c r="B31" s="45"/>
      <c r="C31" s="45"/>
      <c r="D31" s="44" t="s">
        <v>83</v>
      </c>
      <c r="E31" s="45"/>
      <c r="F31" s="45"/>
      <c r="G31" s="45"/>
      <c r="H31" s="45"/>
      <c r="I31" s="45"/>
    </row>
    <row r="32" spans="1:9" ht="15.6" x14ac:dyDescent="0.3">
      <c r="A32" s="44" t="s">
        <v>84</v>
      </c>
      <c r="B32" s="45"/>
      <c r="C32" s="45"/>
      <c r="D32" s="45"/>
      <c r="E32" s="44"/>
      <c r="F32" s="45"/>
      <c r="G32" s="45"/>
      <c r="H32" s="45"/>
      <c r="I32" s="45"/>
    </row>
    <row r="33" spans="1:9" ht="15.6" x14ac:dyDescent="0.3">
      <c r="A33" s="44" t="s">
        <v>85</v>
      </c>
      <c r="B33" s="45"/>
      <c r="C33" s="45"/>
      <c r="D33" s="45"/>
      <c r="E33" s="45"/>
      <c r="F33" s="45"/>
      <c r="G33" s="45"/>
      <c r="H33" s="45"/>
      <c r="I33" s="45"/>
    </row>
    <row r="34" spans="1:9" ht="15.6" x14ac:dyDescent="0.3">
      <c r="A34" s="44" t="s">
        <v>86</v>
      </c>
      <c r="B34" s="45"/>
      <c r="C34" s="45"/>
      <c r="D34" s="45"/>
      <c r="E34" s="45"/>
      <c r="F34" s="45"/>
      <c r="G34" s="45"/>
      <c r="H34" s="45"/>
      <c r="I34" s="45"/>
    </row>
    <row r="36" spans="1:9" ht="15.6" x14ac:dyDescent="0.3">
      <c r="B36" s="12"/>
    </row>
    <row r="37" spans="1:9" ht="15.6" x14ac:dyDescent="0.3">
      <c r="C37" s="12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EA19-246A-4ACC-BBDB-AF0F910B9FF6}">
  <dimension ref="A1:M119"/>
  <sheetViews>
    <sheetView topLeftCell="A102" workbookViewId="0">
      <selection activeCell="I52" sqref="I52"/>
    </sheetView>
  </sheetViews>
  <sheetFormatPr defaultRowHeight="14.4" x14ac:dyDescent="0.3"/>
  <cols>
    <col min="1" max="1" width="13.88671875" bestFit="1" customWidth="1"/>
    <col min="2" max="2" width="24.6640625" bestFit="1" customWidth="1"/>
    <col min="3" max="3" width="26" bestFit="1" customWidth="1"/>
    <col min="4" max="4" width="10.44140625" bestFit="1" customWidth="1"/>
    <col min="5" max="5" width="23" bestFit="1" customWidth="1"/>
    <col min="6" max="6" width="17.88671875" bestFit="1" customWidth="1"/>
    <col min="7" max="7" width="12" bestFit="1" customWidth="1"/>
    <col min="8" max="8" width="16.77734375" bestFit="1" customWidth="1"/>
    <col min="9" max="9" width="24.5546875" bestFit="1" customWidth="1"/>
    <col min="10" max="10" width="28.6640625" bestFit="1" customWidth="1"/>
    <col min="11" max="11" width="12.6640625" bestFit="1" customWidth="1"/>
    <col min="12" max="12" width="28.5546875" bestFit="1" customWidth="1"/>
    <col min="13" max="13" width="38" bestFit="1" customWidth="1"/>
  </cols>
  <sheetData>
    <row r="1" spans="1:13" x14ac:dyDescent="0.3">
      <c r="A1" s="1" t="s">
        <v>45</v>
      </c>
      <c r="B1" t="s">
        <v>29</v>
      </c>
    </row>
    <row r="3" spans="1:13" x14ac:dyDescent="0.3">
      <c r="A3" s="1" t="s">
        <v>46</v>
      </c>
      <c r="B3" t="s">
        <v>48</v>
      </c>
      <c r="C3" s="4" t="s">
        <v>55</v>
      </c>
    </row>
    <row r="4" spans="1:13" x14ac:dyDescent="0.3">
      <c r="A4" s="2">
        <v>2022</v>
      </c>
    </row>
    <row r="5" spans="1:13" x14ac:dyDescent="0.3">
      <c r="A5" s="3" t="s">
        <v>38</v>
      </c>
      <c r="B5">
        <v>172.4</v>
      </c>
      <c r="C5" s="5"/>
    </row>
    <row r="6" spans="1:13" ht="15.6" x14ac:dyDescent="0.3">
      <c r="A6" s="3" t="s">
        <v>39</v>
      </c>
      <c r="B6">
        <v>172.5</v>
      </c>
      <c r="C6" s="5">
        <f>($B6-$B5)/$B5*100</f>
        <v>5.80046403712264E-2</v>
      </c>
      <c r="E6" s="10"/>
      <c r="M6" s="5"/>
    </row>
    <row r="7" spans="1:13" ht="15.6" x14ac:dyDescent="0.3">
      <c r="A7" s="3" t="s">
        <v>40</v>
      </c>
      <c r="B7">
        <v>173.9</v>
      </c>
      <c r="C7" s="5">
        <f t="shared" ref="C7:C11" si="0">($B7-$B6)/$B6*100</f>
        <v>0.81159420289855411</v>
      </c>
      <c r="F7" s="23"/>
      <c r="G7" s="29"/>
      <c r="H7" s="29"/>
      <c r="I7" s="29"/>
      <c r="J7" s="29"/>
    </row>
    <row r="8" spans="1:13" ht="15.6" x14ac:dyDescent="0.3">
      <c r="A8" s="3" t="s">
        <v>41</v>
      </c>
      <c r="B8">
        <v>175.5</v>
      </c>
      <c r="C8" s="5">
        <f t="shared" si="0"/>
        <v>0.92006900517538481</v>
      </c>
      <c r="F8" s="23"/>
      <c r="G8" s="29"/>
      <c r="H8" s="29"/>
      <c r="I8" s="29"/>
      <c r="J8" s="29"/>
    </row>
    <row r="9" spans="1:13" x14ac:dyDescent="0.3">
      <c r="A9" s="3" t="s">
        <v>42</v>
      </c>
      <c r="B9">
        <v>177.4</v>
      </c>
      <c r="C9" s="30">
        <f t="shared" si="0"/>
        <v>1.082621082621086</v>
      </c>
    </row>
    <row r="10" spans="1:13" x14ac:dyDescent="0.3">
      <c r="A10" s="3" t="s">
        <v>43</v>
      </c>
      <c r="B10">
        <v>176.6</v>
      </c>
      <c r="C10" s="5">
        <f t="shared" si="0"/>
        <v>-0.45095828635851826</v>
      </c>
    </row>
    <row r="11" spans="1:13" x14ac:dyDescent="0.3">
      <c r="A11" s="3" t="s">
        <v>44</v>
      </c>
      <c r="B11">
        <v>174.4</v>
      </c>
      <c r="C11" s="31">
        <f t="shared" si="0"/>
        <v>-1.2457531143827796</v>
      </c>
    </row>
    <row r="12" spans="1:13" x14ac:dyDescent="0.3">
      <c r="A12" s="2">
        <v>2023</v>
      </c>
      <c r="C12" s="5"/>
    </row>
    <row r="13" spans="1:13" x14ac:dyDescent="0.3">
      <c r="A13" s="3" t="s">
        <v>30</v>
      </c>
      <c r="B13">
        <v>175</v>
      </c>
      <c r="C13" s="5">
        <f>(B13-B11)/B11*100</f>
        <v>0.34403669724770314</v>
      </c>
    </row>
    <row r="14" spans="1:13" x14ac:dyDescent="0.3">
      <c r="A14" s="3" t="s">
        <v>34</v>
      </c>
      <c r="B14">
        <v>174.8</v>
      </c>
      <c r="C14" s="5">
        <f>(B14-B13)/B13*100</f>
        <v>-0.11428571428570779</v>
      </c>
    </row>
    <row r="15" spans="1:13" x14ac:dyDescent="0.3">
      <c r="A15" s="3" t="s">
        <v>35</v>
      </c>
      <c r="B15">
        <v>174.8</v>
      </c>
      <c r="C15" s="5">
        <f t="shared" ref="C15:C17" si="1">(B15-B14)/B14*100</f>
        <v>0</v>
      </c>
    </row>
    <row r="16" spans="1:13" x14ac:dyDescent="0.3">
      <c r="A16" s="3" t="s">
        <v>36</v>
      </c>
      <c r="B16">
        <v>175.5</v>
      </c>
      <c r="C16" s="5">
        <f t="shared" si="1"/>
        <v>0.40045766590388365</v>
      </c>
    </row>
    <row r="17" spans="1:10" x14ac:dyDescent="0.3">
      <c r="A17" s="3" t="s">
        <v>37</v>
      </c>
      <c r="B17">
        <v>176.8</v>
      </c>
      <c r="C17" s="5">
        <f t="shared" si="1"/>
        <v>0.74074074074074714</v>
      </c>
    </row>
    <row r="18" spans="1:10" x14ac:dyDescent="0.3">
      <c r="C18" s="5"/>
    </row>
    <row r="19" spans="1:10" x14ac:dyDescent="0.3">
      <c r="A19" s="1" t="s">
        <v>45</v>
      </c>
      <c r="B19" t="s">
        <v>32</v>
      </c>
    </row>
    <row r="21" spans="1:10" x14ac:dyDescent="0.3">
      <c r="A21" s="1" t="s">
        <v>46</v>
      </c>
      <c r="B21" t="s">
        <v>48</v>
      </c>
      <c r="C21" s="4" t="s">
        <v>55</v>
      </c>
    </row>
    <row r="22" spans="1:10" x14ac:dyDescent="0.3">
      <c r="A22" s="2">
        <v>2022</v>
      </c>
    </row>
    <row r="23" spans="1:10" x14ac:dyDescent="0.3">
      <c r="A23" s="3" t="s">
        <v>38</v>
      </c>
      <c r="B23">
        <v>179.3</v>
      </c>
    </row>
    <row r="24" spans="1:10" ht="15.6" x14ac:dyDescent="0.3">
      <c r="A24" s="3" t="s">
        <v>39</v>
      </c>
      <c r="B24">
        <v>179.4</v>
      </c>
      <c r="C24" s="5">
        <f>(B24-B23)/B23*100</f>
        <v>5.5772448410482046E-2</v>
      </c>
      <c r="E24" s="10"/>
    </row>
    <row r="25" spans="1:10" ht="15.6" x14ac:dyDescent="0.3">
      <c r="A25" s="3" t="s">
        <v>40</v>
      </c>
      <c r="B25">
        <v>180.4</v>
      </c>
      <c r="C25" s="5">
        <f t="shared" ref="C25:C29" si="2">(B25-B24)/B24*100</f>
        <v>0.55741360089186176</v>
      </c>
      <c r="F25" s="23"/>
      <c r="G25" s="29"/>
      <c r="H25" s="29"/>
      <c r="I25" s="29"/>
      <c r="J25" s="29"/>
    </row>
    <row r="26" spans="1:10" ht="15.6" x14ac:dyDescent="0.3">
      <c r="A26" s="3" t="s">
        <v>41</v>
      </c>
      <c r="B26">
        <v>181.8</v>
      </c>
      <c r="C26" s="5">
        <f t="shared" si="2"/>
        <v>0.77605321507760849</v>
      </c>
      <c r="F26" s="23"/>
      <c r="G26" s="29"/>
      <c r="H26" s="29"/>
      <c r="I26" s="29"/>
      <c r="J26" s="29"/>
    </row>
    <row r="27" spans="1:10" x14ac:dyDescent="0.3">
      <c r="A27" s="3" t="s">
        <v>42</v>
      </c>
      <c r="B27">
        <v>183.3</v>
      </c>
      <c r="C27" s="30">
        <f t="shared" si="2"/>
        <v>0.82508250825082496</v>
      </c>
    </row>
    <row r="28" spans="1:10" x14ac:dyDescent="0.3">
      <c r="A28" s="3" t="s">
        <v>43</v>
      </c>
      <c r="B28">
        <v>181.3</v>
      </c>
      <c r="C28" s="5">
        <f t="shared" si="2"/>
        <v>-1.0911074740861975</v>
      </c>
    </row>
    <row r="29" spans="1:10" x14ac:dyDescent="0.3">
      <c r="A29" s="3" t="s">
        <v>44</v>
      </c>
      <c r="B29">
        <v>178.6</v>
      </c>
      <c r="C29" s="31">
        <f t="shared" si="2"/>
        <v>-1.4892443463872129</v>
      </c>
    </row>
    <row r="30" spans="1:10" x14ac:dyDescent="0.3">
      <c r="A30" s="2">
        <v>2023</v>
      </c>
      <c r="C30" s="5"/>
    </row>
    <row r="31" spans="1:10" x14ac:dyDescent="0.3">
      <c r="A31" s="3" t="s">
        <v>30</v>
      </c>
      <c r="B31">
        <v>179.5</v>
      </c>
      <c r="C31" s="5">
        <f>(B31-B29)/B29*100</f>
        <v>0.50391937290033917</v>
      </c>
    </row>
    <row r="32" spans="1:10" x14ac:dyDescent="0.3">
      <c r="A32" s="3" t="s">
        <v>34</v>
      </c>
      <c r="B32">
        <v>180.7</v>
      </c>
      <c r="C32" s="5">
        <f>(B32-B31)/B31*100</f>
        <v>0.66852367688021652</v>
      </c>
    </row>
    <row r="33" spans="1:10" x14ac:dyDescent="0.3">
      <c r="A33" s="3" t="s">
        <v>35</v>
      </c>
      <c r="B33">
        <v>180.8</v>
      </c>
      <c r="C33" s="5">
        <f t="shared" ref="C33:C35" si="3">(B33-B32)/B32*100</f>
        <v>5.534034311013987E-2</v>
      </c>
    </row>
    <row r="34" spans="1:10" x14ac:dyDescent="0.3">
      <c r="A34" s="3" t="s">
        <v>36</v>
      </c>
      <c r="B34">
        <v>182.1</v>
      </c>
      <c r="C34" s="5">
        <f t="shared" si="3"/>
        <v>0.71902654867255689</v>
      </c>
    </row>
    <row r="35" spans="1:10" x14ac:dyDescent="0.3">
      <c r="A35" s="3" t="s">
        <v>37</v>
      </c>
      <c r="B35">
        <v>183.1</v>
      </c>
      <c r="C35" s="5">
        <f t="shared" si="3"/>
        <v>0.54914881933003845</v>
      </c>
    </row>
    <row r="37" spans="1:10" x14ac:dyDescent="0.3">
      <c r="A37" s="1" t="s">
        <v>45</v>
      </c>
      <c r="B37" t="s">
        <v>33</v>
      </c>
    </row>
    <row r="39" spans="1:10" x14ac:dyDescent="0.3">
      <c r="A39" s="1" t="s">
        <v>46</v>
      </c>
      <c r="B39" t="s">
        <v>48</v>
      </c>
      <c r="C39" s="4" t="s">
        <v>55</v>
      </c>
    </row>
    <row r="40" spans="1:10" x14ac:dyDescent="0.3">
      <c r="A40" s="2">
        <v>2022</v>
      </c>
    </row>
    <row r="41" spans="1:10" x14ac:dyDescent="0.3">
      <c r="A41" s="3" t="s">
        <v>38</v>
      </c>
      <c r="B41">
        <v>174.9</v>
      </c>
    </row>
    <row r="42" spans="1:10" x14ac:dyDescent="0.3">
      <c r="A42" s="3" t="s">
        <v>39</v>
      </c>
      <c r="B42">
        <v>175</v>
      </c>
      <c r="C42" s="5">
        <f>(B42-B41)/B41*100</f>
        <v>5.7175528873638831E-2</v>
      </c>
    </row>
    <row r="43" spans="1:10" ht="15.6" x14ac:dyDescent="0.3">
      <c r="A43" s="3" t="s">
        <v>40</v>
      </c>
      <c r="B43">
        <v>176.3</v>
      </c>
      <c r="C43" s="5">
        <f t="shared" ref="C43:C47" si="4">(B43-B42)/B42*100</f>
        <v>0.74285714285714932</v>
      </c>
      <c r="E43" s="10"/>
    </row>
    <row r="44" spans="1:10" ht="15.6" x14ac:dyDescent="0.3">
      <c r="A44" s="3" t="s">
        <v>41</v>
      </c>
      <c r="B44">
        <v>177.8</v>
      </c>
      <c r="C44" s="5">
        <f t="shared" si="4"/>
        <v>0.85082246171298925</v>
      </c>
      <c r="F44" s="23"/>
      <c r="G44" s="29"/>
      <c r="H44" s="29"/>
      <c r="I44" s="29"/>
      <c r="J44" s="29"/>
    </row>
    <row r="45" spans="1:10" ht="15.6" x14ac:dyDescent="0.3">
      <c r="A45" s="3" t="s">
        <v>42</v>
      </c>
      <c r="B45">
        <v>179.6</v>
      </c>
      <c r="C45" s="30">
        <f t="shared" si="4"/>
        <v>1.0123734533183255</v>
      </c>
      <c r="F45" s="23"/>
      <c r="G45" s="29"/>
      <c r="H45" s="29"/>
      <c r="I45" s="29"/>
      <c r="J45" s="29"/>
    </row>
    <row r="46" spans="1:10" ht="15.6" x14ac:dyDescent="0.3">
      <c r="A46" s="3" t="s">
        <v>43</v>
      </c>
      <c r="B46">
        <v>178.3</v>
      </c>
      <c r="C46" s="5">
        <f t="shared" si="4"/>
        <v>-0.7238307349665829</v>
      </c>
      <c r="E46" s="10" t="s">
        <v>56</v>
      </c>
      <c r="F46" s="12" t="s">
        <v>132</v>
      </c>
      <c r="G46" s="12"/>
      <c r="H46" s="12"/>
      <c r="I46" s="12"/>
      <c r="J46" s="12"/>
    </row>
    <row r="47" spans="1:10" x14ac:dyDescent="0.3">
      <c r="A47" s="3" t="s">
        <v>44</v>
      </c>
      <c r="B47">
        <v>175.9</v>
      </c>
      <c r="C47" s="31">
        <f t="shared" si="4"/>
        <v>-1.3460459899046582</v>
      </c>
      <c r="F47" t="s">
        <v>99</v>
      </c>
    </row>
    <row r="48" spans="1:10" x14ac:dyDescent="0.3">
      <c r="A48" s="2">
        <v>2023</v>
      </c>
      <c r="C48" s="5"/>
      <c r="F48" t="s">
        <v>101</v>
      </c>
    </row>
    <row r="49" spans="1:13" x14ac:dyDescent="0.3">
      <c r="A49" s="3" t="s">
        <v>30</v>
      </c>
      <c r="B49">
        <v>176.7</v>
      </c>
      <c r="C49" s="5">
        <f>(B49-B47)/B47*100</f>
        <v>0.45480386583284982</v>
      </c>
      <c r="F49" t="s">
        <v>100</v>
      </c>
    </row>
    <row r="50" spans="1:13" x14ac:dyDescent="0.3">
      <c r="A50" s="3" t="s">
        <v>34</v>
      </c>
      <c r="B50">
        <v>177</v>
      </c>
      <c r="C50" s="5">
        <f>(B50-B49)/B49*100</f>
        <v>0.16977928692700134</v>
      </c>
    </row>
    <row r="51" spans="1:13" x14ac:dyDescent="0.3">
      <c r="A51" s="3" t="s">
        <v>35</v>
      </c>
      <c r="B51">
        <v>177</v>
      </c>
      <c r="C51" s="5">
        <f t="shared" ref="C51:C53" si="5">(B51-B50)/B50*100</f>
        <v>0</v>
      </c>
    </row>
    <row r="52" spans="1:13" x14ac:dyDescent="0.3">
      <c r="A52" s="3" t="s">
        <v>36</v>
      </c>
      <c r="B52">
        <v>177.9</v>
      </c>
      <c r="C52" s="5">
        <f t="shared" si="5"/>
        <v>0.50847457627118964</v>
      </c>
    </row>
    <row r="53" spans="1:13" x14ac:dyDescent="0.3">
      <c r="A53" s="3" t="s">
        <v>37</v>
      </c>
      <c r="B53">
        <v>179.1</v>
      </c>
      <c r="C53" s="5">
        <f t="shared" si="5"/>
        <v>0.6745362563237709</v>
      </c>
    </row>
    <row r="54" spans="1:13" x14ac:dyDescent="0.3">
      <c r="C54" s="5"/>
    </row>
    <row r="56" spans="1:13" x14ac:dyDescent="0.3">
      <c r="A56" s="1" t="s">
        <v>45</v>
      </c>
      <c r="B56" t="s">
        <v>29</v>
      </c>
    </row>
    <row r="58" spans="1:13" x14ac:dyDescent="0.3">
      <c r="A58" s="1" t="s">
        <v>46</v>
      </c>
      <c r="B58" t="s">
        <v>66</v>
      </c>
      <c r="C58" t="s">
        <v>67</v>
      </c>
      <c r="D58" t="s">
        <v>68</v>
      </c>
      <c r="E58" t="s">
        <v>69</v>
      </c>
      <c r="F58" t="s">
        <v>70</v>
      </c>
      <c r="G58" t="s">
        <v>71</v>
      </c>
      <c r="H58" t="s">
        <v>72</v>
      </c>
      <c r="I58" t="s">
        <v>74</v>
      </c>
      <c r="J58" t="s">
        <v>73</v>
      </c>
      <c r="K58" t="s">
        <v>75</v>
      </c>
      <c r="L58" t="s">
        <v>76</v>
      </c>
      <c r="M58" t="s">
        <v>77</v>
      </c>
    </row>
    <row r="59" spans="1:13" x14ac:dyDescent="0.3">
      <c r="A59" s="2">
        <v>2022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3">
      <c r="A60" s="3" t="s">
        <v>38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3">
      <c r="A61" s="3" t="s">
        <v>39</v>
      </c>
      <c r="B61" s="6">
        <v>9.102730819245626E-3</v>
      </c>
      <c r="C61" s="6">
        <v>-2.9465930018416103E-2</v>
      </c>
      <c r="D61" s="6">
        <v>2.7712264150943498E-2</v>
      </c>
      <c r="E61" s="6">
        <v>5.4413542926239761E-3</v>
      </c>
      <c r="F61" s="6">
        <v>-2.8351753964440202E-2</v>
      </c>
      <c r="G61" s="6">
        <v>2.2919179734619918E-2</v>
      </c>
      <c r="H61" s="6">
        <v>7.770472205618547E-3</v>
      </c>
      <c r="I61" s="6">
        <v>-1.2150668286755081E-3</v>
      </c>
      <c r="J61" s="6">
        <v>8.3963056255254855E-4</v>
      </c>
      <c r="K61" s="6">
        <v>1.5352038115405005E-2</v>
      </c>
      <c r="L61" s="6">
        <v>1.7221584385764144E-3</v>
      </c>
      <c r="M61" s="6">
        <v>6.5970313358987825E-3</v>
      </c>
    </row>
    <row r="62" spans="1:13" x14ac:dyDescent="0.3">
      <c r="A62" s="3" t="s">
        <v>40</v>
      </c>
      <c r="B62" s="6">
        <v>2.7706185567010384E-2</v>
      </c>
      <c r="C62" s="6">
        <v>-3.1783681214421329E-2</v>
      </c>
      <c r="D62" s="6">
        <v>-3.4423407917383818E-2</v>
      </c>
      <c r="E62" s="6">
        <v>9.6211665664461474E-3</v>
      </c>
      <c r="F62" s="6">
        <v>-2.0276953511374849E-2</v>
      </c>
      <c r="G62" s="6">
        <v>-2.3584905660377696E-3</v>
      </c>
      <c r="H62" s="6">
        <v>2.6690391459074734E-2</v>
      </c>
      <c r="I62" s="6">
        <v>1.6423357664233508E-2</v>
      </c>
      <c r="J62" s="6">
        <v>8.389261744966443E-3</v>
      </c>
      <c r="K62" s="6">
        <v>1.981230448383724E-2</v>
      </c>
      <c r="L62" s="6">
        <v>1.7191977077364547E-3</v>
      </c>
      <c r="M62" s="6">
        <v>4.9153468050246079E-3</v>
      </c>
    </row>
    <row r="63" spans="1:13" x14ac:dyDescent="0.3">
      <c r="A63" s="3" t="s">
        <v>41</v>
      </c>
      <c r="B63" s="6">
        <v>2.1316614420062732E-2</v>
      </c>
      <c r="C63" s="6">
        <v>1.2738853503184686E-2</v>
      </c>
      <c r="D63" s="6">
        <v>4.1592394533570328E-3</v>
      </c>
      <c r="E63" s="6">
        <v>9.5294818344252193E-3</v>
      </c>
      <c r="F63" s="6">
        <v>-2.0191822311963654E-2</v>
      </c>
      <c r="G63" s="6">
        <v>-3.0141843971631173E-2</v>
      </c>
      <c r="H63" s="6">
        <v>2.1952628538417167E-2</v>
      </c>
      <c r="I63" s="6">
        <v>1.1370436864153236E-2</v>
      </c>
      <c r="J63" s="6">
        <v>4.9916805324458757E-3</v>
      </c>
      <c r="K63" s="6">
        <v>1.7893660531697341E-2</v>
      </c>
      <c r="L63" s="6">
        <v>3.4324942791761686E-3</v>
      </c>
      <c r="M63" s="6">
        <v>4.3478260869565834E-3</v>
      </c>
    </row>
    <row r="64" spans="1:13" x14ac:dyDescent="0.3">
      <c r="A64" s="3" t="s">
        <v>42</v>
      </c>
      <c r="B64" s="6">
        <v>1.1049723756905973E-2</v>
      </c>
      <c r="C64" s="6">
        <v>1.0159651669085742E-2</v>
      </c>
      <c r="D64" s="6">
        <v>7.6923076923077595E-3</v>
      </c>
      <c r="E64" s="6">
        <v>8.2595870206490004E-3</v>
      </c>
      <c r="F64" s="6">
        <v>-1.2879958784131892E-2</v>
      </c>
      <c r="G64" s="6">
        <v>-1.1578305911029894E-2</v>
      </c>
      <c r="H64" s="6">
        <v>4.4657998869417778E-2</v>
      </c>
      <c r="I64" s="6">
        <v>4.1420118343194591E-3</v>
      </c>
      <c r="J64" s="6">
        <v>2.4834437086092482E-3</v>
      </c>
      <c r="K64" s="6">
        <v>1.2556504269211451E-2</v>
      </c>
      <c r="L64" s="6">
        <v>2.2805017103763149E-3</v>
      </c>
      <c r="M64" s="6">
        <v>4.3290043290042362E-3</v>
      </c>
    </row>
    <row r="65" spans="1:13" x14ac:dyDescent="0.3">
      <c r="A65" s="3" t="s">
        <v>43</v>
      </c>
      <c r="B65" s="6">
        <v>1.3357619914997069E-2</v>
      </c>
      <c r="C65" s="6">
        <v>-7.6628352490422545E-3</v>
      </c>
      <c r="D65" s="6">
        <v>5.8132706987668682E-2</v>
      </c>
      <c r="E65" s="6">
        <v>8.1919251023990971E-3</v>
      </c>
      <c r="F65" s="6">
        <v>1.2526096033402953E-2</v>
      </c>
      <c r="G65" s="6">
        <v>-1.9112207151664579E-2</v>
      </c>
      <c r="H65" s="6">
        <v>-7.1428571428571522E-2</v>
      </c>
      <c r="I65" s="6">
        <v>2.9463759575721863E-3</v>
      </c>
      <c r="J65" s="6">
        <v>3.3030553261767606E-3</v>
      </c>
      <c r="K65" s="6">
        <v>1.5873015873015959E-2</v>
      </c>
      <c r="L65" s="6">
        <v>3.412969283276418E-3</v>
      </c>
      <c r="M65" s="6">
        <v>7.0043103448276479E-3</v>
      </c>
    </row>
    <row r="66" spans="1:13" x14ac:dyDescent="0.3">
      <c r="A66" s="3" t="s">
        <v>44</v>
      </c>
      <c r="B66" s="6">
        <v>1.1384062312762167E-2</v>
      </c>
      <c r="C66" s="6">
        <v>-1.4478764478763656E-3</v>
      </c>
      <c r="D66" s="6">
        <v>4.9389567147613798E-2</v>
      </c>
      <c r="E66" s="6">
        <v>6.3842135809634021E-3</v>
      </c>
      <c r="F66" s="6">
        <v>-5.1546391752574393E-4</v>
      </c>
      <c r="G66" s="6">
        <v>-1.5084852294154657E-2</v>
      </c>
      <c r="H66" s="6">
        <v>-0.12470862470862475</v>
      </c>
      <c r="I66" s="6">
        <v>1.7626321974148729E-3</v>
      </c>
      <c r="J66" s="6">
        <v>-2.4691358024691123E-3</v>
      </c>
      <c r="K66" s="6">
        <v>1.3183593749999944E-2</v>
      </c>
      <c r="L66" s="6">
        <v>2.2675736961451569E-3</v>
      </c>
      <c r="M66" s="6">
        <v>4.2803638309255373E-3</v>
      </c>
    </row>
    <row r="67" spans="1:13" x14ac:dyDescent="0.3">
      <c r="A67" s="2">
        <v>2023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3">
      <c r="A68" s="3" t="s">
        <v>30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3">
      <c r="A69" s="3" t="s">
        <v>34</v>
      </c>
      <c r="B69" s="6">
        <v>1.1494252873562566E-3</v>
      </c>
      <c r="C69" s="6">
        <v>-1.4882381180989066E-2</v>
      </c>
      <c r="D69" s="6">
        <v>-9.8496630378434424E-2</v>
      </c>
      <c r="E69" s="6">
        <v>1.5490533562822654E-2</v>
      </c>
      <c r="F69" s="6">
        <v>-4.7767393561786026E-2</v>
      </c>
      <c r="G69" s="6">
        <v>6.973768394113869E-2</v>
      </c>
      <c r="H69" s="6">
        <v>-1.3995801259622112E-2</v>
      </c>
      <c r="I69" s="6">
        <v>-1.7574692442881251E-3</v>
      </c>
      <c r="J69" s="6">
        <v>-9.9750623441396749E-3</v>
      </c>
      <c r="K69" s="6">
        <v>7.6009501187648187E-3</v>
      </c>
      <c r="L69" s="6">
        <v>3.9570378745053059E-3</v>
      </c>
      <c r="M69" s="6">
        <v>7.4270557029178022E-3</v>
      </c>
    </row>
    <row r="70" spans="1:13" x14ac:dyDescent="0.3">
      <c r="A70" s="3" t="s">
        <v>35</v>
      </c>
      <c r="B70" s="6">
        <v>5.7405281285891356E-4</v>
      </c>
      <c r="C70" s="6">
        <v>0</v>
      </c>
      <c r="D70" s="6">
        <v>0</v>
      </c>
      <c r="E70" s="6">
        <v>0</v>
      </c>
      <c r="F70" s="6">
        <v>-5.4525627044707916E-4</v>
      </c>
      <c r="G70" s="6">
        <v>0</v>
      </c>
      <c r="H70" s="6">
        <v>0</v>
      </c>
      <c r="I70" s="6">
        <v>5.8685446009386333E-4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3">
      <c r="A71" s="3" t="s">
        <v>36</v>
      </c>
      <c r="B71" s="6">
        <v>-5.737234652897303E-3</v>
      </c>
      <c r="C71" s="6">
        <v>8.2846003898636306E-3</v>
      </c>
      <c r="D71" s="6">
        <v>-3.4502587694077054E-2</v>
      </c>
      <c r="E71" s="6">
        <v>6.7796610169490882E-3</v>
      </c>
      <c r="F71" s="6">
        <v>-2.61865793780688E-2</v>
      </c>
      <c r="G71" s="6">
        <v>3.8875598086124404E-2</v>
      </c>
      <c r="H71" s="6">
        <v>1.3484740951029138E-2</v>
      </c>
      <c r="I71" s="6">
        <v>1.3489736070381298E-2</v>
      </c>
      <c r="J71" s="6">
        <v>1.0915197313182296E-2</v>
      </c>
      <c r="K71" s="6">
        <v>1.6030174446016059E-2</v>
      </c>
      <c r="L71" s="6">
        <v>3.3783783783783465E-3</v>
      </c>
      <c r="M71" s="6">
        <v>3.1595576619273002E-3</v>
      </c>
    </row>
    <row r="72" spans="1:13" x14ac:dyDescent="0.3">
      <c r="A72" s="3" t="s">
        <v>37</v>
      </c>
      <c r="B72" s="6">
        <v>-5.7703404500878666E-4</v>
      </c>
      <c r="C72" s="6">
        <v>2.2232962783953574E-2</v>
      </c>
      <c r="D72" s="6">
        <v>1.8463371054198895E-2</v>
      </c>
      <c r="E72" s="6">
        <v>7.8563411896745549E-3</v>
      </c>
      <c r="F72" s="6">
        <v>-2.913165266106436E-2</v>
      </c>
      <c r="G72" s="6">
        <v>-2.7058146229130622E-2</v>
      </c>
      <c r="H72" s="6">
        <v>4.1316526610644097E-2</v>
      </c>
      <c r="I72" s="6">
        <v>1.2152777777777743E-2</v>
      </c>
      <c r="J72" s="6">
        <v>1.2458471760797342E-2</v>
      </c>
      <c r="K72" s="6">
        <v>2.5522041763341066E-2</v>
      </c>
      <c r="L72" s="6">
        <v>2.8058361391694727E-3</v>
      </c>
      <c r="M72" s="6">
        <v>3.1496062992125685E-3</v>
      </c>
    </row>
    <row r="73" spans="1:13" s="8" customFormat="1" x14ac:dyDescent="0.3">
      <c r="A73" s="19" t="s">
        <v>78</v>
      </c>
      <c r="B73" s="20">
        <v>8.9300000000000004E-2</v>
      </c>
      <c r="C73" s="20">
        <v>-3.1800000000000002E-2</v>
      </c>
      <c r="D73" s="20">
        <v>-1.9E-3</v>
      </c>
      <c r="E73" s="20">
        <v>7.7600000000000002E-2</v>
      </c>
      <c r="F73" s="20">
        <v>-0.17330000000000001</v>
      </c>
      <c r="G73" s="20">
        <v>2.6200000000000001E-2</v>
      </c>
      <c r="H73" s="20">
        <v>-5.4300000000000001E-2</v>
      </c>
      <c r="I73" s="20">
        <v>5.9900000000000002E-2</v>
      </c>
      <c r="J73" s="20">
        <v>3.09E-2</v>
      </c>
      <c r="K73" s="20">
        <v>0.14380000000000001</v>
      </c>
      <c r="L73" s="20">
        <v>2.5000000000000001E-2</v>
      </c>
      <c r="M73" s="20">
        <v>4.5199999999999997E-2</v>
      </c>
    </row>
    <row r="74" spans="1:13" s="8" customFormat="1" x14ac:dyDescent="0.3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6" spans="1:13" x14ac:dyDescent="0.3">
      <c r="A76" s="1" t="s">
        <v>45</v>
      </c>
      <c r="B76" t="s">
        <v>32</v>
      </c>
    </row>
    <row r="78" spans="1:13" x14ac:dyDescent="0.3">
      <c r="A78" s="1" t="s">
        <v>46</v>
      </c>
      <c r="B78" t="s">
        <v>66</v>
      </c>
      <c r="C78" t="s">
        <v>67</v>
      </c>
      <c r="D78" t="s">
        <v>68</v>
      </c>
      <c r="E78" t="s">
        <v>69</v>
      </c>
      <c r="F78" t="s">
        <v>70</v>
      </c>
      <c r="G78" t="s">
        <v>71</v>
      </c>
      <c r="H78" t="s">
        <v>72</v>
      </c>
      <c r="I78" t="s">
        <v>74</v>
      </c>
      <c r="J78" t="s">
        <v>73</v>
      </c>
      <c r="K78" t="s">
        <v>75</v>
      </c>
      <c r="L78" t="s">
        <v>76</v>
      </c>
      <c r="M78" t="s">
        <v>77</v>
      </c>
    </row>
    <row r="79" spans="1:13" x14ac:dyDescent="0.3">
      <c r="A79" s="2">
        <v>2022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3">
      <c r="A80" s="3" t="s">
        <v>38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3">
      <c r="A81" s="3" t="s">
        <v>39</v>
      </c>
      <c r="B81" s="6">
        <v>1.1428571428571501E-2</v>
      </c>
      <c r="C81" s="6">
        <v>-2.8200537153088682E-2</v>
      </c>
      <c r="D81" s="6">
        <v>2.1990740740740641E-2</v>
      </c>
      <c r="E81" s="6">
        <v>4.2067307692307005E-3</v>
      </c>
      <c r="F81" s="6">
        <v>-2.014846235418867E-2</v>
      </c>
      <c r="G81" s="6">
        <v>3.1016657093624389E-2</v>
      </c>
      <c r="H81" s="6">
        <v>-1.4184397163120567E-2</v>
      </c>
      <c r="I81" s="6">
        <v>2.4449877750611594E-3</v>
      </c>
      <c r="J81" s="6">
        <v>8.2372322899501083E-4</v>
      </c>
      <c r="K81" s="6">
        <v>1.5258855585831125E-2</v>
      </c>
      <c r="L81" s="6">
        <v>4.3997485857952051E-3</v>
      </c>
      <c r="M81" s="6">
        <v>7.514761137949421E-3</v>
      </c>
    </row>
    <row r="82" spans="1:13" x14ac:dyDescent="0.3">
      <c r="A82" s="3" t="s">
        <v>40</v>
      </c>
      <c r="B82" s="6">
        <v>1.7576898932831028E-2</v>
      </c>
      <c r="C82" s="6">
        <v>-2.8558268079226113E-2</v>
      </c>
      <c r="D82" s="6">
        <v>-3.3975084937712348E-2</v>
      </c>
      <c r="E82" s="6">
        <v>7.7797725912627852E-3</v>
      </c>
      <c r="F82" s="6">
        <v>-1.2445887445887507E-2</v>
      </c>
      <c r="G82" s="6">
        <v>-1.3370473537604488E-2</v>
      </c>
      <c r="H82" s="6">
        <v>2.206235011990405E-2</v>
      </c>
      <c r="I82" s="6">
        <v>2.0121951219512265E-2</v>
      </c>
      <c r="J82" s="6">
        <v>5.7613168724280073E-3</v>
      </c>
      <c r="K82" s="6">
        <v>1.8250134192163054E-2</v>
      </c>
      <c r="L82" s="6">
        <v>4.3804755944930451E-3</v>
      </c>
      <c r="M82" s="6">
        <v>6.3931806073522493E-3</v>
      </c>
    </row>
    <row r="83" spans="1:13" x14ac:dyDescent="0.3">
      <c r="A83" s="3" t="s">
        <v>41</v>
      </c>
      <c r="B83" s="6">
        <v>1.7273288093769348E-2</v>
      </c>
      <c r="C83" s="6">
        <v>1.3276434329065827E-2</v>
      </c>
      <c r="D83" s="6">
        <v>1.7584994138335954E-3</v>
      </c>
      <c r="E83" s="6">
        <v>1.0095011876484494E-2</v>
      </c>
      <c r="F83" s="6">
        <v>-1.7534246575342402E-2</v>
      </c>
      <c r="G83" s="6">
        <v>-5.4206662902315045E-2</v>
      </c>
      <c r="H83" s="6">
        <v>3.6133270764899188E-2</v>
      </c>
      <c r="I83" s="6">
        <v>1.1356843992827119E-2</v>
      </c>
      <c r="J83" s="6">
        <v>7.3649754500817628E-3</v>
      </c>
      <c r="K83" s="6">
        <v>2.0558777016341623E-2</v>
      </c>
      <c r="L83" s="6">
        <v>3.7383177570093104E-3</v>
      </c>
      <c r="M83" s="6">
        <v>7.9407093700370572E-3</v>
      </c>
    </row>
    <row r="84" spans="1:13" x14ac:dyDescent="0.3">
      <c r="A84" s="3" t="s">
        <v>42</v>
      </c>
      <c r="B84" s="6">
        <v>9.0964220739842318E-3</v>
      </c>
      <c r="C84" s="6">
        <v>5.6153486195602113E-3</v>
      </c>
      <c r="D84" s="6">
        <v>5.8513750731421883E-3</v>
      </c>
      <c r="E84" s="6">
        <v>5.2910052910053245E-3</v>
      </c>
      <c r="F84" s="6">
        <v>-8.9235917456777607E-3</v>
      </c>
      <c r="G84" s="6">
        <v>-1.0746268656716487E-2</v>
      </c>
      <c r="H84" s="6">
        <v>3.532608695652166E-2</v>
      </c>
      <c r="I84" s="6">
        <v>4.1371158392436002E-3</v>
      </c>
      <c r="J84" s="6">
        <v>2.4370430544273874E-3</v>
      </c>
      <c r="K84" s="6">
        <v>1.4462809917355431E-2</v>
      </c>
      <c r="L84" s="6">
        <v>3.1036623215394167E-3</v>
      </c>
      <c r="M84" s="6">
        <v>5.7773109243697178E-3</v>
      </c>
    </row>
    <row r="85" spans="1:13" x14ac:dyDescent="0.3">
      <c r="A85" s="3" t="s">
        <v>43</v>
      </c>
      <c r="B85" s="6">
        <v>1.2019230769230768E-2</v>
      </c>
      <c r="C85" s="6">
        <v>-6.9799906933457421E-3</v>
      </c>
      <c r="D85" s="6">
        <v>6.5735892961023751E-2</v>
      </c>
      <c r="E85" s="6">
        <v>7.6023391812866164E-3</v>
      </c>
      <c r="F85" s="6">
        <v>1.2943162633652288E-2</v>
      </c>
      <c r="G85" s="6">
        <v>-1.8708509354254645E-2</v>
      </c>
      <c r="H85" s="6">
        <v>-0.10104986876640418</v>
      </c>
      <c r="I85" s="6">
        <v>6.4743967039434629E-3</v>
      </c>
      <c r="J85" s="6">
        <v>0</v>
      </c>
      <c r="K85" s="6">
        <v>1.2219959266802473E-2</v>
      </c>
      <c r="L85" s="6">
        <v>3.0940594059405942E-3</v>
      </c>
      <c r="M85" s="6">
        <v>4.6997389033942858E-3</v>
      </c>
    </row>
    <row r="86" spans="1:13" x14ac:dyDescent="0.3">
      <c r="A86" s="3" t="s">
        <v>44</v>
      </c>
      <c r="B86" s="6">
        <v>1.0688836104512963E-2</v>
      </c>
      <c r="C86" s="6">
        <v>-2.3430178069353325E-3</v>
      </c>
      <c r="D86" s="6">
        <v>4.7489082969432411E-2</v>
      </c>
      <c r="E86" s="6">
        <v>9.286128845037692E-3</v>
      </c>
      <c r="F86" s="6">
        <v>-5.0000000000000313E-3</v>
      </c>
      <c r="G86" s="6">
        <v>-1.9065190651906486E-2</v>
      </c>
      <c r="H86" s="6">
        <v>-0.1304136253041363</v>
      </c>
      <c r="I86" s="6">
        <v>1.7543859649123471E-3</v>
      </c>
      <c r="J86" s="6">
        <v>-2.4311183144247275E-3</v>
      </c>
      <c r="K86" s="6">
        <v>8.5513078470824365E-3</v>
      </c>
      <c r="L86" s="6">
        <v>4.3183220234424245E-3</v>
      </c>
      <c r="M86" s="6">
        <v>4.6777546777547075E-3</v>
      </c>
    </row>
    <row r="87" spans="1:13" x14ac:dyDescent="0.3">
      <c r="A87" s="2">
        <v>2023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3">
      <c r="A88" s="3" t="s">
        <v>30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3">
      <c r="A89" s="3" t="s">
        <v>34</v>
      </c>
      <c r="B89" s="6">
        <v>8.078476630121045E-3</v>
      </c>
      <c r="C89" s="6">
        <v>-1.3940520446096656E-2</v>
      </c>
      <c r="D89" s="6">
        <v>-0.10050761421319802</v>
      </c>
      <c r="E89" s="6">
        <v>1.5410958904109687E-2</v>
      </c>
      <c r="F89" s="6">
        <v>-3.2584269662921411E-2</v>
      </c>
      <c r="G89" s="6">
        <v>7.2274143302180655E-2</v>
      </c>
      <c r="H89" s="6">
        <v>2.8522532800912721E-3</v>
      </c>
      <c r="I89" s="6">
        <v>5.8411214953271035E-3</v>
      </c>
      <c r="J89" s="6">
        <v>-6.5199674001629754E-3</v>
      </c>
      <c r="K89" s="6">
        <v>2.4473813020068525E-3</v>
      </c>
      <c r="L89" s="6">
        <v>7.3304825901039528E-3</v>
      </c>
      <c r="M89" s="6">
        <v>1.1837364899639644E-2</v>
      </c>
    </row>
    <row r="90" spans="1:13" x14ac:dyDescent="0.3">
      <c r="A90" s="3" t="s">
        <v>35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5.6882821387937608E-4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</row>
    <row r="91" spans="1:13" x14ac:dyDescent="0.3">
      <c r="A91" s="3" t="s">
        <v>36</v>
      </c>
      <c r="B91" s="6">
        <v>5.7240984544947189E-4</v>
      </c>
      <c r="C91" s="6">
        <v>7.068803016022621E-3</v>
      </c>
      <c r="D91" s="6">
        <v>-2.7088036117381396E-2</v>
      </c>
      <c r="E91" s="6">
        <v>5.0590219224283623E-3</v>
      </c>
      <c r="F91" s="6">
        <v>-2.0325203252032523E-2</v>
      </c>
      <c r="G91" s="6">
        <v>4.1255084253341047E-2</v>
      </c>
      <c r="H91" s="6">
        <v>2.2740193291642979E-2</v>
      </c>
      <c r="I91" s="6">
        <v>1.4518002322880372E-2</v>
      </c>
      <c r="J91" s="6">
        <v>9.8441345365052387E-3</v>
      </c>
      <c r="K91" s="6">
        <v>1.46484375E-2</v>
      </c>
      <c r="L91" s="6">
        <v>3.6385688295936585E-3</v>
      </c>
      <c r="M91" s="6">
        <v>2.034587995930853E-3</v>
      </c>
    </row>
    <row r="92" spans="1:13" x14ac:dyDescent="0.3">
      <c r="A92" s="3" t="s">
        <v>37</v>
      </c>
      <c r="B92" s="6">
        <v>-5.7208237986283023E-4</v>
      </c>
      <c r="C92" s="6">
        <v>2.6672905942910705E-2</v>
      </c>
      <c r="D92" s="6">
        <v>2.4941995359628672E-2</v>
      </c>
      <c r="E92" s="6">
        <v>3.355704697986545E-3</v>
      </c>
      <c r="F92" s="6">
        <v>-2.5489033787788874E-2</v>
      </c>
      <c r="G92" s="6">
        <v>-1.8973214285714159E-2</v>
      </c>
      <c r="H92" s="6">
        <v>2.8349082823790964E-2</v>
      </c>
      <c r="I92" s="6">
        <v>1.2593016599885617E-2</v>
      </c>
      <c r="J92" s="6">
        <v>8.9358245329001513E-3</v>
      </c>
      <c r="K92" s="6">
        <v>1.9730510105871003E-2</v>
      </c>
      <c r="L92" s="6">
        <v>2.4169184290030554E-3</v>
      </c>
      <c r="M92" s="6">
        <v>3.5532994923857292E-3</v>
      </c>
    </row>
    <row r="93" spans="1:13" s="8" customFormat="1" x14ac:dyDescent="0.3">
      <c r="A93" s="19" t="s">
        <v>79</v>
      </c>
      <c r="B93" s="20">
        <v>8.6199999999999999E-2</v>
      </c>
      <c r="C93" s="20">
        <v>-2.7400000000000001E-2</v>
      </c>
      <c r="D93" s="20">
        <v>6.1999999999999998E-3</v>
      </c>
      <c r="E93" s="20">
        <v>6.8099999999999994E-2</v>
      </c>
      <c r="F93" s="20">
        <v>-0.1295</v>
      </c>
      <c r="G93" s="20">
        <v>9.4999999999999998E-3</v>
      </c>
      <c r="H93" s="20">
        <v>-9.7600000000000006E-2</v>
      </c>
      <c r="I93" s="20">
        <v>7.9200000000000007E-2</v>
      </c>
      <c r="J93" s="20">
        <v>2.6200000000000001E-2</v>
      </c>
      <c r="K93" s="20">
        <v>0.12609999999999999</v>
      </c>
      <c r="L93" s="20">
        <v>3.6400000000000002E-2</v>
      </c>
      <c r="M93" s="20">
        <v>5.4399999999999997E-2</v>
      </c>
    </row>
    <row r="96" spans="1:13" x14ac:dyDescent="0.3">
      <c r="A96" s="1" t="s">
        <v>45</v>
      </c>
      <c r="B96" t="s">
        <v>33</v>
      </c>
    </row>
    <row r="98" spans="1:13" x14ac:dyDescent="0.3">
      <c r="A98" s="1" t="s">
        <v>46</v>
      </c>
      <c r="B98" t="s">
        <v>66</v>
      </c>
      <c r="C98" t="s">
        <v>67</v>
      </c>
      <c r="D98" t="s">
        <v>68</v>
      </c>
      <c r="E98" t="s">
        <v>69</v>
      </c>
      <c r="F98" t="s">
        <v>70</v>
      </c>
      <c r="G98" t="s">
        <v>71</v>
      </c>
      <c r="H98" t="s">
        <v>72</v>
      </c>
      <c r="I98" t="s">
        <v>74</v>
      </c>
      <c r="J98" t="s">
        <v>73</v>
      </c>
      <c r="K98" t="s">
        <v>75</v>
      </c>
      <c r="L98" t="s">
        <v>76</v>
      </c>
      <c r="M98" t="s">
        <v>77</v>
      </c>
    </row>
    <row r="99" spans="1:13" x14ac:dyDescent="0.3">
      <c r="A99" s="2">
        <v>2022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x14ac:dyDescent="0.3">
      <c r="A100" s="3" t="s">
        <v>38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3">
      <c r="A101" s="3" t="s">
        <v>39</v>
      </c>
      <c r="B101" s="6">
        <v>9.6774193548387101E-3</v>
      </c>
      <c r="C101" s="6">
        <v>-2.9170464904284436E-2</v>
      </c>
      <c r="D101" s="6">
        <v>2.5761124121779725E-2</v>
      </c>
      <c r="E101" s="6">
        <v>4.8250904704462173E-3</v>
      </c>
      <c r="F101" s="6">
        <v>-2.5385764061722219E-2</v>
      </c>
      <c r="G101" s="6">
        <v>2.6517383618149679E-2</v>
      </c>
      <c r="H101" s="6">
        <v>-1.0970927043336097E-3</v>
      </c>
      <c r="I101" s="6">
        <v>0</v>
      </c>
      <c r="J101" s="6">
        <v>8.3402835696408937E-4</v>
      </c>
      <c r="K101" s="6">
        <v>1.5499732763228252E-2</v>
      </c>
      <c r="L101" s="6">
        <v>2.9779630732578916E-3</v>
      </c>
      <c r="M101" s="6">
        <v>7.0690592713430287E-3</v>
      </c>
    </row>
    <row r="102" spans="1:13" x14ac:dyDescent="0.3">
      <c r="A102" s="3" t="s">
        <v>40</v>
      </c>
      <c r="B102" s="6">
        <v>2.4281150159744483E-2</v>
      </c>
      <c r="C102" s="6">
        <v>-3.0516431924882629E-2</v>
      </c>
      <c r="D102" s="6">
        <v>-3.4246575342465758E-2</v>
      </c>
      <c r="E102" s="6">
        <v>9.00360144057623E-3</v>
      </c>
      <c r="F102" s="6">
        <v>-1.7364657814096043E-2</v>
      </c>
      <c r="G102" s="6">
        <v>-7.4626865671640818E-3</v>
      </c>
      <c r="H102" s="6">
        <v>2.5260845689181737E-2</v>
      </c>
      <c r="I102" s="6">
        <v>1.7650639074862917E-2</v>
      </c>
      <c r="J102" s="6">
        <v>7.5000000000000474E-3</v>
      </c>
      <c r="K102" s="6">
        <v>1.8947368421052602E-2</v>
      </c>
      <c r="L102" s="6">
        <v>2.3752969121140478E-3</v>
      </c>
      <c r="M102" s="6">
        <v>5.9395248380130824E-3</v>
      </c>
    </row>
    <row r="103" spans="1:13" x14ac:dyDescent="0.3">
      <c r="A103" s="3" t="s">
        <v>41</v>
      </c>
      <c r="B103" s="6">
        <v>1.9962570180910719E-2</v>
      </c>
      <c r="C103" s="6">
        <v>1.3075060532687597E-2</v>
      </c>
      <c r="D103" s="6">
        <v>2.9550827423167852E-3</v>
      </c>
      <c r="E103" s="6">
        <v>9.5181439619273899E-3</v>
      </c>
      <c r="F103" s="6">
        <v>-1.9230769230769319E-2</v>
      </c>
      <c r="G103" s="6">
        <v>-4.1642567958357531E-2</v>
      </c>
      <c r="H103" s="6">
        <v>2.7316550615961558E-2</v>
      </c>
      <c r="I103" s="6">
        <v>1.1363636363636399E-2</v>
      </c>
      <c r="J103" s="6">
        <v>5.7899090157153728E-3</v>
      </c>
      <c r="K103" s="6">
        <v>1.9111570247933973E-2</v>
      </c>
      <c r="L103" s="6">
        <v>3.5545023696682125E-3</v>
      </c>
      <c r="M103" s="6">
        <v>5.9044551798174676E-3</v>
      </c>
    </row>
    <row r="104" spans="1:13" x14ac:dyDescent="0.3">
      <c r="A104" s="3" t="s">
        <v>42</v>
      </c>
      <c r="B104" s="6">
        <v>1.0397553516819502E-2</v>
      </c>
      <c r="C104" s="6">
        <v>8.1261950286807706E-3</v>
      </c>
      <c r="D104" s="6">
        <v>7.0713022981733478E-3</v>
      </c>
      <c r="E104" s="6">
        <v>7.0713022981733478E-3</v>
      </c>
      <c r="F104" s="6">
        <v>-1.1658717541070422E-2</v>
      </c>
      <c r="G104" s="6">
        <v>-1.1466505733252729E-2</v>
      </c>
      <c r="H104" s="6">
        <v>4.118873826903012E-2</v>
      </c>
      <c r="I104" s="6">
        <v>4.1395623891189656E-3</v>
      </c>
      <c r="J104" s="6">
        <v>2.4671052631579883E-3</v>
      </c>
      <c r="K104" s="6">
        <v>1.3177901672579798E-2</v>
      </c>
      <c r="L104" s="6">
        <v>2.9515938606847697E-3</v>
      </c>
      <c r="M104" s="6">
        <v>4.8025613660619302E-3</v>
      </c>
    </row>
    <row r="105" spans="1:13" x14ac:dyDescent="0.3">
      <c r="A105" s="3" t="s">
        <v>43</v>
      </c>
      <c r="B105" s="6">
        <v>1.3317191283293082E-2</v>
      </c>
      <c r="C105" s="6">
        <v>-7.1123755334281651E-3</v>
      </c>
      <c r="D105" s="6">
        <v>6.1439438267992974E-2</v>
      </c>
      <c r="E105" s="6">
        <v>8.1919251023990971E-3</v>
      </c>
      <c r="F105" s="6">
        <v>1.286863270777483E-2</v>
      </c>
      <c r="G105" s="6">
        <v>-1.8925518925519063E-2</v>
      </c>
      <c r="H105" s="6">
        <v>-8.3124687030545791E-2</v>
      </c>
      <c r="I105" s="6">
        <v>4.1224970553591792E-3</v>
      </c>
      <c r="J105" s="6">
        <v>1.640689089417462E-3</v>
      </c>
      <c r="K105" s="6">
        <v>1.4507253626813434E-2</v>
      </c>
      <c r="L105" s="6">
        <v>2.942907592701589E-3</v>
      </c>
      <c r="M105" s="6">
        <v>6.3728093467869812E-3</v>
      </c>
    </row>
    <row r="106" spans="1:13" x14ac:dyDescent="0.3">
      <c r="A106" s="3" t="s">
        <v>44</v>
      </c>
      <c r="B106" s="6">
        <v>1.0752688172042909E-2</v>
      </c>
      <c r="C106" s="6">
        <v>-1.9102196752626823E-3</v>
      </c>
      <c r="D106" s="6">
        <v>4.8511576626240255E-2</v>
      </c>
      <c r="E106" s="6">
        <v>7.5449796865930518E-3</v>
      </c>
      <c r="F106" s="6">
        <v>-2.1175224986765785E-3</v>
      </c>
      <c r="G106" s="6">
        <v>-1.6801493466085806E-2</v>
      </c>
      <c r="H106" s="6">
        <v>-0.12670671764063349</v>
      </c>
      <c r="I106" s="6">
        <v>1.7595307917889231E-3</v>
      </c>
      <c r="J106" s="6">
        <v>-2.457002457002434E-3</v>
      </c>
      <c r="K106" s="6">
        <v>1.1834319526627106E-2</v>
      </c>
      <c r="L106" s="6">
        <v>3.521126760563347E-3</v>
      </c>
      <c r="M106" s="6">
        <v>4.2216358839050729E-3</v>
      </c>
    </row>
    <row r="107" spans="1:13" x14ac:dyDescent="0.3">
      <c r="A107" s="2">
        <v>2023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3">
      <c r="A108" s="3" t="s">
        <v>30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3">
      <c r="A109" s="3" t="s">
        <v>34</v>
      </c>
      <c r="B109" s="6">
        <v>3.4522439585730398E-3</v>
      </c>
      <c r="C109" s="6">
        <v>-1.423825344091125E-2</v>
      </c>
      <c r="D109" s="6">
        <v>-9.9228791773778982E-2</v>
      </c>
      <c r="E109" s="6">
        <v>1.5463917525773294E-2</v>
      </c>
      <c r="F109" s="6">
        <v>-4.2200854700854579E-2</v>
      </c>
      <c r="G109" s="6">
        <v>7.0751737207833149E-2</v>
      </c>
      <c r="H109" s="6">
        <v>-7.7972709551658026E-3</v>
      </c>
      <c r="I109" s="6">
        <v>5.8513750731418557E-4</v>
      </c>
      <c r="J109" s="6">
        <v>-9.0834021469859156E-3</v>
      </c>
      <c r="K109" s="6">
        <v>6.2380038387715112E-3</v>
      </c>
      <c r="L109" s="6">
        <v>5.2508751458576761E-3</v>
      </c>
      <c r="M109" s="6">
        <v>9.4142259414226534E-3</v>
      </c>
    </row>
    <row r="110" spans="1:13" x14ac:dyDescent="0.3">
      <c r="A110" s="3" t="s">
        <v>35</v>
      </c>
      <c r="B110" s="6">
        <v>0</v>
      </c>
      <c r="C110" s="6">
        <v>0</v>
      </c>
      <c r="D110" s="6">
        <v>0</v>
      </c>
      <c r="E110" s="6">
        <v>0</v>
      </c>
      <c r="F110" s="6">
        <v>-5.5772448410497898E-4</v>
      </c>
      <c r="G110" s="6">
        <v>0</v>
      </c>
      <c r="H110" s="6">
        <v>6.5487884741337755E-4</v>
      </c>
      <c r="I110" s="6">
        <v>5.8479532163739363E-4</v>
      </c>
      <c r="J110" s="6">
        <v>0</v>
      </c>
      <c r="K110" s="6">
        <v>0</v>
      </c>
      <c r="L110" s="6">
        <v>0</v>
      </c>
      <c r="M110" s="6">
        <v>0</v>
      </c>
    </row>
    <row r="111" spans="1:13" x14ac:dyDescent="0.3">
      <c r="A111" s="3" t="s">
        <v>36</v>
      </c>
      <c r="B111" s="6">
        <v>-3.4403669724770315E-3</v>
      </c>
      <c r="C111" s="6">
        <v>7.7034183919115207E-3</v>
      </c>
      <c r="D111" s="6">
        <v>-3.1963470319634674E-2</v>
      </c>
      <c r="E111" s="6">
        <v>6.2041737168640398E-3</v>
      </c>
      <c r="F111" s="6">
        <v>-2.3995535714285622E-2</v>
      </c>
      <c r="G111" s="6">
        <v>4.0117994100295054E-2</v>
      </c>
      <c r="H111" s="6">
        <v>1.7015706806282685E-2</v>
      </c>
      <c r="I111" s="6">
        <v>1.3442431326709593E-2</v>
      </c>
      <c r="J111" s="6">
        <v>1.0833333333333309E-2</v>
      </c>
      <c r="K111" s="6">
        <v>1.5259895088221351E-2</v>
      </c>
      <c r="L111" s="6">
        <v>3.4822983168891135E-3</v>
      </c>
      <c r="M111" s="6">
        <v>2.5906735751295338E-3</v>
      </c>
    </row>
    <row r="112" spans="1:13" x14ac:dyDescent="0.3">
      <c r="A112" s="3" t="s">
        <v>37</v>
      </c>
      <c r="B112" s="6">
        <v>-5.7537399309564284E-4</v>
      </c>
      <c r="C112" s="6">
        <v>2.3889154323936932E-2</v>
      </c>
      <c r="D112" s="6">
        <v>2.122641509433959E-2</v>
      </c>
      <c r="E112" s="6">
        <v>6.1659192825111791E-3</v>
      </c>
      <c r="F112" s="6">
        <v>-2.801600914808465E-2</v>
      </c>
      <c r="G112" s="6">
        <v>-2.32558139534885E-2</v>
      </c>
      <c r="H112" s="6">
        <v>3.6036036036036001E-2</v>
      </c>
      <c r="I112" s="6">
        <v>1.2687427912341341E-2</v>
      </c>
      <c r="J112" s="6">
        <v>1.1541632316570533E-2</v>
      </c>
      <c r="K112" s="6">
        <v>2.3954908407703118E-2</v>
      </c>
      <c r="L112" s="6">
        <v>2.8918449971081549E-3</v>
      </c>
      <c r="M112" s="6">
        <v>3.6175710594314658E-3</v>
      </c>
    </row>
    <row r="113" spans="1:13" s="8" customFormat="1" x14ac:dyDescent="0.3">
      <c r="A113" s="19" t="s">
        <v>78</v>
      </c>
      <c r="B113" s="20">
        <v>8.7799999999999989E-2</v>
      </c>
      <c r="C113" s="20">
        <v>-3.0200000000000001E-2</v>
      </c>
      <c r="D113" s="20">
        <v>1.5E-3</v>
      </c>
      <c r="E113" s="20">
        <v>7.3999999999999996E-2</v>
      </c>
      <c r="F113" s="20">
        <v>-0.15770000000000001</v>
      </c>
      <c r="G113" s="20">
        <v>1.78E-2</v>
      </c>
      <c r="H113" s="20">
        <v>-7.1300000000000002E-2</v>
      </c>
      <c r="I113" s="20">
        <v>6.6299999999999998E-2</v>
      </c>
      <c r="J113" s="20">
        <v>2.9100000000000001E-2</v>
      </c>
      <c r="K113" s="20">
        <v>0.13850000000000001</v>
      </c>
      <c r="L113" s="20">
        <v>2.9899999999999999E-2</v>
      </c>
      <c r="M113" s="20">
        <v>4.99E-2</v>
      </c>
    </row>
    <row r="115" spans="1:13" ht="15.6" x14ac:dyDescent="0.3">
      <c r="A115" s="10" t="s">
        <v>54</v>
      </c>
    </row>
    <row r="116" spans="1:13" ht="15.6" x14ac:dyDescent="0.3">
      <c r="A116" s="10"/>
      <c r="B116" s="23" t="s">
        <v>105</v>
      </c>
      <c r="C116" s="29"/>
    </row>
    <row r="117" spans="1:13" ht="15.6" x14ac:dyDescent="0.3">
      <c r="A117" s="10"/>
      <c r="B117" s="12" t="s">
        <v>104</v>
      </c>
    </row>
    <row r="118" spans="1:13" ht="15.6" x14ac:dyDescent="0.3">
      <c r="A118" s="10"/>
      <c r="B118" s="12" t="s">
        <v>103</v>
      </c>
    </row>
    <row r="119" spans="1:13" ht="15.6" x14ac:dyDescent="0.3">
      <c r="B119" s="12" t="s">
        <v>102</v>
      </c>
    </row>
  </sheetData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607B-DA7C-48EA-AE52-BB7E1E59A1D8}">
  <dimension ref="A1:Q94"/>
  <sheetViews>
    <sheetView topLeftCell="E59" zoomScale="110" zoomScaleNormal="110" workbookViewId="0">
      <selection activeCell="H66" sqref="H66"/>
    </sheetView>
  </sheetViews>
  <sheetFormatPr defaultRowHeight="14.4" x14ac:dyDescent="0.3"/>
  <cols>
    <col min="1" max="1" width="14.21875" bestFit="1" customWidth="1"/>
    <col min="2" max="2" width="27.88671875" bestFit="1" customWidth="1"/>
    <col min="3" max="3" width="22.21875" bestFit="1" customWidth="1"/>
    <col min="4" max="4" width="16.21875" bestFit="1" customWidth="1"/>
    <col min="5" max="5" width="22.77734375" bestFit="1" customWidth="1"/>
    <col min="6" max="6" width="20.44140625" customWidth="1"/>
    <col min="7" max="7" width="14.21875" bestFit="1" customWidth="1"/>
    <col min="8" max="8" width="27.88671875" bestFit="1" customWidth="1"/>
    <col min="9" max="9" width="22.21875" bestFit="1" customWidth="1"/>
    <col min="10" max="10" width="16.21875" bestFit="1" customWidth="1"/>
    <col min="11" max="11" width="22.77734375" bestFit="1" customWidth="1"/>
    <col min="12" max="12" width="14.44140625" bestFit="1" customWidth="1"/>
    <col min="13" max="13" width="26.21875" bestFit="1" customWidth="1"/>
    <col min="14" max="14" width="19" bestFit="1" customWidth="1"/>
    <col min="15" max="15" width="17.5546875" bestFit="1" customWidth="1"/>
  </cols>
  <sheetData>
    <row r="1" spans="1:13" x14ac:dyDescent="0.3">
      <c r="A1" s="1" t="s">
        <v>45</v>
      </c>
      <c r="B1" t="s">
        <v>29</v>
      </c>
      <c r="D1" s="13" t="s">
        <v>113</v>
      </c>
      <c r="G1" s="1" t="s">
        <v>45</v>
      </c>
      <c r="H1" t="s">
        <v>29</v>
      </c>
      <c r="J1" s="13" t="s">
        <v>114</v>
      </c>
    </row>
    <row r="3" spans="1:13" x14ac:dyDescent="0.3">
      <c r="A3" s="1" t="s">
        <v>46</v>
      </c>
      <c r="B3" t="s">
        <v>87</v>
      </c>
      <c r="C3" t="s">
        <v>88</v>
      </c>
      <c r="D3" t="s">
        <v>89</v>
      </c>
      <c r="E3" t="s">
        <v>90</v>
      </c>
      <c r="G3" s="1" t="s">
        <v>46</v>
      </c>
      <c r="H3" t="s">
        <v>87</v>
      </c>
      <c r="I3" t="s">
        <v>88</v>
      </c>
      <c r="J3" t="s">
        <v>89</v>
      </c>
      <c r="K3" t="s">
        <v>90</v>
      </c>
    </row>
    <row r="4" spans="1:13" x14ac:dyDescent="0.3">
      <c r="A4" s="2">
        <v>2019</v>
      </c>
      <c r="G4" s="2">
        <v>2020</v>
      </c>
    </row>
    <row r="5" spans="1:13" x14ac:dyDescent="0.3">
      <c r="A5" s="3" t="s">
        <v>37</v>
      </c>
      <c r="B5">
        <v>139.19999999999999</v>
      </c>
      <c r="C5">
        <v>146.9</v>
      </c>
      <c r="D5">
        <v>151.30000000000001</v>
      </c>
      <c r="E5">
        <v>142.9</v>
      </c>
      <c r="G5" s="3" t="s">
        <v>36</v>
      </c>
      <c r="H5">
        <v>150.1</v>
      </c>
      <c r="I5">
        <v>148.4</v>
      </c>
      <c r="J5">
        <v>154.30000000000001</v>
      </c>
      <c r="K5" t="e">
        <v>#DIV/0!</v>
      </c>
      <c r="M5" s="13" t="s">
        <v>91</v>
      </c>
    </row>
    <row r="6" spans="1:13" x14ac:dyDescent="0.3">
      <c r="A6" s="3" t="s">
        <v>38</v>
      </c>
      <c r="B6">
        <v>141</v>
      </c>
      <c r="C6">
        <v>147.80000000000001</v>
      </c>
      <c r="D6">
        <v>151.69999999999999</v>
      </c>
      <c r="E6">
        <v>143.30000000000001</v>
      </c>
      <c r="F6" s="46" t="s">
        <v>123</v>
      </c>
      <c r="G6" s="3" t="s">
        <v>37</v>
      </c>
      <c r="H6" t="e">
        <v>#DIV/0!</v>
      </c>
      <c r="I6" t="e">
        <v>#DIV/0!</v>
      </c>
      <c r="J6" t="e">
        <v>#DIV/0!</v>
      </c>
      <c r="K6" t="e">
        <v>#DIV/0!</v>
      </c>
      <c r="M6" s="13" t="s">
        <v>92</v>
      </c>
    </row>
    <row r="7" spans="1:13" x14ac:dyDescent="0.3">
      <c r="A7" s="3" t="s">
        <v>39</v>
      </c>
      <c r="B7">
        <v>143</v>
      </c>
      <c r="C7">
        <v>146.80000000000001</v>
      </c>
      <c r="D7">
        <v>152.19999999999999</v>
      </c>
      <c r="E7">
        <v>144.19999999999999</v>
      </c>
      <c r="F7" s="47" t="s">
        <v>111</v>
      </c>
      <c r="G7" s="3" t="s">
        <v>38</v>
      </c>
      <c r="H7">
        <v>152.30000000000001</v>
      </c>
      <c r="I7">
        <v>144.9</v>
      </c>
      <c r="J7">
        <v>158.19999999999999</v>
      </c>
      <c r="K7">
        <v>151.69999999999999</v>
      </c>
      <c r="M7" s="13" t="s">
        <v>106</v>
      </c>
    </row>
    <row r="8" spans="1:13" x14ac:dyDescent="0.3">
      <c r="A8" s="3" t="s">
        <v>40</v>
      </c>
      <c r="B8">
        <v>144</v>
      </c>
      <c r="C8">
        <v>146.4</v>
      </c>
      <c r="D8">
        <v>152.69999999999999</v>
      </c>
      <c r="E8">
        <v>144.9</v>
      </c>
      <c r="F8" s="47" t="s">
        <v>112</v>
      </c>
      <c r="G8" s="3" t="s">
        <v>39</v>
      </c>
      <c r="H8">
        <v>152.30000000000001</v>
      </c>
      <c r="I8">
        <v>144.9</v>
      </c>
      <c r="J8">
        <v>158.19999999999999</v>
      </c>
      <c r="K8">
        <v>151.69999999999999</v>
      </c>
      <c r="M8" s="13" t="s">
        <v>107</v>
      </c>
    </row>
    <row r="9" spans="1:13" x14ac:dyDescent="0.3">
      <c r="A9" s="3" t="s">
        <v>41</v>
      </c>
      <c r="B9">
        <v>145.5</v>
      </c>
      <c r="C9">
        <v>146.9</v>
      </c>
      <c r="D9">
        <v>153.4</v>
      </c>
      <c r="E9">
        <v>145.4</v>
      </c>
      <c r="F9" s="7"/>
      <c r="G9" s="3" t="s">
        <v>40</v>
      </c>
      <c r="H9">
        <v>155.30000000000001</v>
      </c>
      <c r="I9">
        <v>145.80000000000001</v>
      </c>
      <c r="J9">
        <v>158.80000000000001</v>
      </c>
      <c r="K9">
        <v>153</v>
      </c>
    </row>
    <row r="10" spans="1:13" x14ac:dyDescent="0.3">
      <c r="A10" s="3" t="s">
        <v>42</v>
      </c>
      <c r="B10">
        <v>148.30000000000001</v>
      </c>
      <c r="C10">
        <v>147.69999999999999</v>
      </c>
      <c r="D10">
        <v>153.69999999999999</v>
      </c>
      <c r="E10">
        <v>145.69999999999999</v>
      </c>
      <c r="F10" s="7"/>
      <c r="G10" s="3" t="s">
        <v>41</v>
      </c>
      <c r="H10">
        <v>156.1</v>
      </c>
      <c r="I10">
        <v>146.4</v>
      </c>
      <c r="J10">
        <v>159.1</v>
      </c>
      <c r="K10">
        <v>153.69999999999999</v>
      </c>
    </row>
    <row r="11" spans="1:13" x14ac:dyDescent="0.3">
      <c r="A11" s="3" t="s">
        <v>43</v>
      </c>
      <c r="B11">
        <v>150.9</v>
      </c>
      <c r="C11">
        <v>148.4</v>
      </c>
      <c r="D11">
        <v>154.30000000000001</v>
      </c>
      <c r="E11">
        <v>146.1</v>
      </c>
      <c r="F11" s="7"/>
      <c r="G11" s="3" t="s">
        <v>42</v>
      </c>
      <c r="H11">
        <v>159.6</v>
      </c>
      <c r="I11">
        <v>146.80000000000001</v>
      </c>
      <c r="J11">
        <v>159.5</v>
      </c>
      <c r="K11">
        <v>154.30000000000001</v>
      </c>
    </row>
    <row r="12" spans="1:13" x14ac:dyDescent="0.3">
      <c r="A12" s="3" t="s">
        <v>44</v>
      </c>
      <c r="B12">
        <v>154.30000000000001</v>
      </c>
      <c r="C12">
        <v>149.9</v>
      </c>
      <c r="D12">
        <v>154.80000000000001</v>
      </c>
      <c r="E12">
        <v>147.1</v>
      </c>
      <c r="F12" s="7"/>
      <c r="G12" s="3" t="s">
        <v>43</v>
      </c>
      <c r="H12">
        <v>163.4</v>
      </c>
      <c r="I12">
        <v>147.5</v>
      </c>
      <c r="J12">
        <v>160.4</v>
      </c>
      <c r="K12">
        <v>154.5</v>
      </c>
    </row>
    <row r="13" spans="1:13" x14ac:dyDescent="0.3">
      <c r="A13" s="2">
        <v>2020</v>
      </c>
      <c r="F13" s="7"/>
      <c r="G13" s="3" t="s">
        <v>44</v>
      </c>
      <c r="H13">
        <v>164.5</v>
      </c>
      <c r="I13">
        <v>148.69999999999999</v>
      </c>
      <c r="J13">
        <v>161.6</v>
      </c>
      <c r="K13">
        <v>155.19999999999999</v>
      </c>
    </row>
    <row r="14" spans="1:13" x14ac:dyDescent="0.3">
      <c r="A14" s="3" t="s">
        <v>30</v>
      </c>
      <c r="B14">
        <v>153</v>
      </c>
      <c r="C14">
        <v>150.4</v>
      </c>
      <c r="D14">
        <v>155.69999999999999</v>
      </c>
      <c r="E14">
        <v>148.1</v>
      </c>
      <c r="F14" s="7"/>
      <c r="G14" s="2">
        <v>2021</v>
      </c>
    </row>
    <row r="15" spans="1:13" x14ac:dyDescent="0.3">
      <c r="A15" s="3" t="s">
        <v>34</v>
      </c>
      <c r="B15">
        <v>149.80000000000001</v>
      </c>
      <c r="C15">
        <v>152.30000000000001</v>
      </c>
      <c r="D15">
        <v>156.19999999999999</v>
      </c>
      <c r="E15">
        <v>148.4</v>
      </c>
      <c r="F15" s="7"/>
      <c r="G15" s="3" t="s">
        <v>30</v>
      </c>
      <c r="H15">
        <v>159.6</v>
      </c>
      <c r="I15">
        <v>150.9</v>
      </c>
      <c r="J15">
        <v>162.5</v>
      </c>
      <c r="K15">
        <v>155.9</v>
      </c>
    </row>
    <row r="16" spans="1:13" x14ac:dyDescent="0.3">
      <c r="A16" s="3" t="s">
        <v>35</v>
      </c>
      <c r="B16">
        <v>148.19999999999999</v>
      </c>
      <c r="C16">
        <v>153.4</v>
      </c>
      <c r="D16">
        <v>156.69999999999999</v>
      </c>
      <c r="E16">
        <v>148.6</v>
      </c>
      <c r="F16" s="7"/>
      <c r="G16" s="3" t="s">
        <v>34</v>
      </c>
      <c r="H16">
        <v>154.69999999999999</v>
      </c>
      <c r="I16">
        <v>154.4</v>
      </c>
      <c r="J16">
        <v>164.3</v>
      </c>
      <c r="K16">
        <v>157.19999999999999</v>
      </c>
    </row>
    <row r="17" spans="1:13" x14ac:dyDescent="0.3">
      <c r="A17" s="2" t="s">
        <v>47</v>
      </c>
      <c r="B17" s="7">
        <v>147.01818181818183</v>
      </c>
      <c r="C17" s="7">
        <v>148.80909090909094</v>
      </c>
      <c r="D17" s="7">
        <v>153.88181818181818</v>
      </c>
      <c r="E17" s="7">
        <v>145.88181818181818</v>
      </c>
      <c r="G17" s="3" t="s">
        <v>35</v>
      </c>
      <c r="H17">
        <v>154.5</v>
      </c>
      <c r="I17">
        <v>156</v>
      </c>
      <c r="J17">
        <v>164.6</v>
      </c>
      <c r="K17">
        <v>157.30000000000001</v>
      </c>
    </row>
    <row r="18" spans="1:13" x14ac:dyDescent="0.3">
      <c r="E18" s="8"/>
      <c r="G18" s="2" t="s">
        <v>47</v>
      </c>
      <c r="H18" s="7">
        <v>156.58181818181819</v>
      </c>
      <c r="I18" s="7">
        <v>148.60909090909092</v>
      </c>
      <c r="J18" s="7">
        <v>160.13636363636363</v>
      </c>
      <c r="K18" s="7">
        <v>154.44999999999999</v>
      </c>
    </row>
    <row r="19" spans="1:13" x14ac:dyDescent="0.3">
      <c r="A19" s="1" t="s">
        <v>45</v>
      </c>
      <c r="B19" t="s">
        <v>32</v>
      </c>
    </row>
    <row r="20" spans="1:13" x14ac:dyDescent="0.3">
      <c r="G20" s="1" t="s">
        <v>45</v>
      </c>
      <c r="H20" t="s">
        <v>32</v>
      </c>
    </row>
    <row r="21" spans="1:13" x14ac:dyDescent="0.3">
      <c r="A21" s="1" t="s">
        <v>46</v>
      </c>
      <c r="B21" t="s">
        <v>87</v>
      </c>
      <c r="C21" t="s">
        <v>88</v>
      </c>
      <c r="D21" t="s">
        <v>89</v>
      </c>
      <c r="E21" t="s">
        <v>90</v>
      </c>
    </row>
    <row r="22" spans="1:13" x14ac:dyDescent="0.3">
      <c r="A22" s="2">
        <v>2019</v>
      </c>
      <c r="G22" s="1" t="s">
        <v>46</v>
      </c>
      <c r="H22" t="s">
        <v>87</v>
      </c>
      <c r="I22" t="s">
        <v>88</v>
      </c>
      <c r="J22" t="s">
        <v>89</v>
      </c>
      <c r="K22" t="s">
        <v>90</v>
      </c>
    </row>
    <row r="23" spans="1:13" x14ac:dyDescent="0.3">
      <c r="A23" s="3" t="s">
        <v>37</v>
      </c>
      <c r="B23">
        <v>143.80000000000001</v>
      </c>
      <c r="C23">
        <v>129.4</v>
      </c>
      <c r="D23">
        <v>139.80000000000001</v>
      </c>
      <c r="E23">
        <v>133.30000000000001</v>
      </c>
      <c r="G23" s="2">
        <v>2020</v>
      </c>
    </row>
    <row r="24" spans="1:13" x14ac:dyDescent="0.3">
      <c r="A24" s="3" t="s">
        <v>38</v>
      </c>
      <c r="B24">
        <v>145.6</v>
      </c>
      <c r="C24">
        <v>130.5</v>
      </c>
      <c r="D24">
        <v>140.30000000000001</v>
      </c>
      <c r="E24">
        <v>133.6</v>
      </c>
      <c r="G24" s="3" t="s">
        <v>36</v>
      </c>
      <c r="H24">
        <v>153.5</v>
      </c>
      <c r="I24">
        <v>137.1</v>
      </c>
      <c r="J24">
        <v>144.80000000000001</v>
      </c>
      <c r="K24" t="e">
        <v>#DIV/0!</v>
      </c>
    </row>
    <row r="25" spans="1:13" x14ac:dyDescent="0.3">
      <c r="A25" s="3" t="s">
        <v>39</v>
      </c>
      <c r="B25">
        <v>147.69999999999999</v>
      </c>
      <c r="C25">
        <v>127</v>
      </c>
      <c r="D25">
        <v>140.80000000000001</v>
      </c>
      <c r="E25">
        <v>134.5</v>
      </c>
      <c r="G25" s="3" t="s">
        <v>37</v>
      </c>
      <c r="H25" t="e">
        <v>#DIV/0!</v>
      </c>
      <c r="I25" t="e">
        <v>#DIV/0!</v>
      </c>
      <c r="J25" t="e">
        <v>#DIV/0!</v>
      </c>
      <c r="K25" t="e">
        <v>#DIV/0!</v>
      </c>
    </row>
    <row r="26" spans="1:13" x14ac:dyDescent="0.3">
      <c r="A26" s="3" t="s">
        <v>40</v>
      </c>
      <c r="B26">
        <v>149.1</v>
      </c>
      <c r="C26">
        <v>125.5</v>
      </c>
      <c r="D26">
        <v>141.5</v>
      </c>
      <c r="E26">
        <v>135.30000000000001</v>
      </c>
      <c r="F26" s="46" t="s">
        <v>123</v>
      </c>
      <c r="G26" s="3" t="s">
        <v>38</v>
      </c>
      <c r="H26">
        <v>157</v>
      </c>
      <c r="I26">
        <v>137.1</v>
      </c>
      <c r="J26">
        <v>148.1</v>
      </c>
      <c r="K26">
        <v>142</v>
      </c>
      <c r="M26" s="13"/>
    </row>
    <row r="27" spans="1:13" x14ac:dyDescent="0.3">
      <c r="A27" s="3" t="s">
        <v>41</v>
      </c>
      <c r="B27">
        <v>149.5</v>
      </c>
      <c r="C27">
        <v>126.6</v>
      </c>
      <c r="D27">
        <v>141.9</v>
      </c>
      <c r="E27">
        <v>135.69999999999999</v>
      </c>
      <c r="F27" s="47" t="s">
        <v>111</v>
      </c>
      <c r="G27" s="3" t="s">
        <v>39</v>
      </c>
      <c r="H27">
        <v>157</v>
      </c>
      <c r="I27">
        <v>137.1</v>
      </c>
      <c r="J27">
        <v>148.1</v>
      </c>
      <c r="K27">
        <v>142</v>
      </c>
      <c r="M27" s="13" t="s">
        <v>91</v>
      </c>
    </row>
    <row r="28" spans="1:13" x14ac:dyDescent="0.3">
      <c r="A28" s="3" t="s">
        <v>42</v>
      </c>
      <c r="B28">
        <v>151.9</v>
      </c>
      <c r="C28">
        <v>128.9</v>
      </c>
      <c r="D28">
        <v>142.4</v>
      </c>
      <c r="E28">
        <v>136</v>
      </c>
      <c r="F28" s="47" t="s">
        <v>112</v>
      </c>
      <c r="G28" s="3" t="s">
        <v>40</v>
      </c>
      <c r="H28">
        <v>159.9</v>
      </c>
      <c r="I28">
        <v>138.30000000000001</v>
      </c>
      <c r="J28">
        <v>148.69999999999999</v>
      </c>
      <c r="K28">
        <v>144.80000000000001</v>
      </c>
      <c r="M28" s="13" t="s">
        <v>92</v>
      </c>
    </row>
    <row r="29" spans="1:13" x14ac:dyDescent="0.3">
      <c r="A29" s="3" t="s">
        <v>43</v>
      </c>
      <c r="B29">
        <v>153.6</v>
      </c>
      <c r="C29">
        <v>132.19999999999999</v>
      </c>
      <c r="D29">
        <v>142.80000000000001</v>
      </c>
      <c r="E29">
        <v>136.30000000000001</v>
      </c>
      <c r="G29" s="3" t="s">
        <v>41</v>
      </c>
      <c r="H29">
        <v>161.30000000000001</v>
      </c>
      <c r="I29">
        <v>137.19999999999999</v>
      </c>
      <c r="J29">
        <v>150</v>
      </c>
      <c r="K29">
        <v>146</v>
      </c>
      <c r="M29" s="13" t="s">
        <v>106</v>
      </c>
    </row>
    <row r="30" spans="1:13" x14ac:dyDescent="0.3">
      <c r="A30" s="3" t="s">
        <v>44</v>
      </c>
      <c r="B30">
        <v>156.30000000000001</v>
      </c>
      <c r="C30">
        <v>133.6</v>
      </c>
      <c r="D30">
        <v>143.19999999999999</v>
      </c>
      <c r="E30">
        <v>137.69999999999999</v>
      </c>
      <c r="G30" s="3" t="s">
        <v>42</v>
      </c>
      <c r="H30">
        <v>164.4</v>
      </c>
      <c r="I30">
        <v>137.1</v>
      </c>
      <c r="J30">
        <v>151</v>
      </c>
      <c r="K30">
        <v>146.19999999999999</v>
      </c>
      <c r="M30" s="13" t="s">
        <v>107</v>
      </c>
    </row>
    <row r="31" spans="1:13" x14ac:dyDescent="0.3">
      <c r="A31" s="2">
        <v>2020</v>
      </c>
      <c r="G31" s="3" t="s">
        <v>43</v>
      </c>
      <c r="H31">
        <v>167</v>
      </c>
      <c r="I31">
        <v>137.30000000000001</v>
      </c>
      <c r="J31">
        <v>152</v>
      </c>
      <c r="K31">
        <v>146.6</v>
      </c>
    </row>
    <row r="32" spans="1:13" x14ac:dyDescent="0.3">
      <c r="A32" s="3" t="s">
        <v>30</v>
      </c>
      <c r="B32">
        <v>154.4</v>
      </c>
      <c r="C32">
        <v>135.1</v>
      </c>
      <c r="D32">
        <v>143.80000000000001</v>
      </c>
      <c r="E32">
        <v>138.4</v>
      </c>
      <c r="G32" s="3" t="s">
        <v>44</v>
      </c>
      <c r="H32">
        <v>167</v>
      </c>
      <c r="I32">
        <v>137.9</v>
      </c>
      <c r="J32">
        <v>152.9</v>
      </c>
      <c r="K32">
        <v>146.9</v>
      </c>
    </row>
    <row r="33" spans="1:13" x14ac:dyDescent="0.3">
      <c r="A33" s="3" t="s">
        <v>34</v>
      </c>
      <c r="B33">
        <v>151.69999999999999</v>
      </c>
      <c r="C33">
        <v>138.9</v>
      </c>
      <c r="D33">
        <v>144.4</v>
      </c>
      <c r="E33">
        <v>138.4</v>
      </c>
      <c r="G33" s="2">
        <v>2021</v>
      </c>
    </row>
    <row r="34" spans="1:13" x14ac:dyDescent="0.3">
      <c r="A34" s="3" t="s">
        <v>35</v>
      </c>
      <c r="B34">
        <v>150.1</v>
      </c>
      <c r="C34">
        <v>141.4</v>
      </c>
      <c r="D34">
        <v>145</v>
      </c>
      <c r="E34">
        <v>138.69999999999999</v>
      </c>
      <c r="G34" s="3" t="s">
        <v>30</v>
      </c>
      <c r="H34">
        <v>163.4</v>
      </c>
      <c r="I34">
        <v>142.9</v>
      </c>
      <c r="J34">
        <v>154.1</v>
      </c>
      <c r="K34">
        <v>147.6</v>
      </c>
    </row>
    <row r="35" spans="1:13" x14ac:dyDescent="0.3">
      <c r="A35" s="2" t="s">
        <v>47</v>
      </c>
      <c r="B35" s="7">
        <v>150.33636363636361</v>
      </c>
      <c r="C35" s="7">
        <v>131.73636363636362</v>
      </c>
      <c r="D35" s="7">
        <v>142.35454545454547</v>
      </c>
      <c r="E35" s="7">
        <v>136.17272727272731</v>
      </c>
      <c r="G35" s="3" t="s">
        <v>34</v>
      </c>
      <c r="H35">
        <v>160.80000000000001</v>
      </c>
      <c r="I35">
        <v>149.1</v>
      </c>
      <c r="J35">
        <v>156.30000000000001</v>
      </c>
      <c r="K35">
        <v>149.30000000000001</v>
      </c>
    </row>
    <row r="36" spans="1:13" x14ac:dyDescent="0.3">
      <c r="G36" s="3" t="s">
        <v>35</v>
      </c>
      <c r="H36">
        <v>160.4</v>
      </c>
      <c r="I36">
        <v>154.80000000000001</v>
      </c>
      <c r="J36">
        <v>156.9</v>
      </c>
      <c r="K36">
        <v>150</v>
      </c>
    </row>
    <row r="37" spans="1:13" x14ac:dyDescent="0.3">
      <c r="A37" s="1" t="s">
        <v>45</v>
      </c>
      <c r="B37" t="s">
        <v>33</v>
      </c>
      <c r="G37" s="2" t="s">
        <v>47</v>
      </c>
      <c r="H37" s="7">
        <v>161.06363636363636</v>
      </c>
      <c r="I37" s="7">
        <v>140.53636363636363</v>
      </c>
      <c r="J37" s="7">
        <v>151.17272727272729</v>
      </c>
      <c r="K37" s="7">
        <v>146.13999999999999</v>
      </c>
    </row>
    <row r="39" spans="1:13" x14ac:dyDescent="0.3">
      <c r="A39" s="1" t="s">
        <v>46</v>
      </c>
      <c r="B39" t="s">
        <v>87</v>
      </c>
      <c r="C39" t="s">
        <v>88</v>
      </c>
      <c r="D39" t="s">
        <v>89</v>
      </c>
      <c r="E39" t="s">
        <v>90</v>
      </c>
      <c r="G39" s="1" t="s">
        <v>45</v>
      </c>
      <c r="H39" t="s">
        <v>33</v>
      </c>
    </row>
    <row r="40" spans="1:13" x14ac:dyDescent="0.3">
      <c r="A40" s="2">
        <v>2019</v>
      </c>
    </row>
    <row r="41" spans="1:13" x14ac:dyDescent="0.3">
      <c r="A41" s="3" t="s">
        <v>37</v>
      </c>
      <c r="B41">
        <v>140.9</v>
      </c>
      <c r="C41">
        <v>140.30000000000001</v>
      </c>
      <c r="D41">
        <v>146.9</v>
      </c>
      <c r="E41">
        <v>138.19999999999999</v>
      </c>
      <c r="G41" s="1" t="s">
        <v>46</v>
      </c>
      <c r="H41" t="s">
        <v>87</v>
      </c>
      <c r="I41" t="s">
        <v>88</v>
      </c>
      <c r="J41" t="s">
        <v>89</v>
      </c>
      <c r="K41" t="s">
        <v>90</v>
      </c>
    </row>
    <row r="42" spans="1:13" x14ac:dyDescent="0.3">
      <c r="A42" s="3" t="s">
        <v>38</v>
      </c>
      <c r="B42">
        <v>142.69999999999999</v>
      </c>
      <c r="C42">
        <v>141.19999999999999</v>
      </c>
      <c r="D42">
        <v>147.4</v>
      </c>
      <c r="E42">
        <v>138.6</v>
      </c>
      <c r="G42" s="2">
        <v>2020</v>
      </c>
    </row>
    <row r="43" spans="1:13" x14ac:dyDescent="0.3">
      <c r="A43" s="3" t="s">
        <v>39</v>
      </c>
      <c r="B43">
        <v>144.69999999999999</v>
      </c>
      <c r="C43">
        <v>139.30000000000001</v>
      </c>
      <c r="D43">
        <v>147.9</v>
      </c>
      <c r="E43">
        <v>139.5</v>
      </c>
      <c r="G43" s="3" t="s">
        <v>36</v>
      </c>
      <c r="H43">
        <v>151.4</v>
      </c>
      <c r="I43">
        <v>144.1</v>
      </c>
      <c r="J43">
        <v>150.69999999999999</v>
      </c>
      <c r="K43" t="e">
        <v>#DIV/0!</v>
      </c>
    </row>
    <row r="44" spans="1:13" x14ac:dyDescent="0.3">
      <c r="A44" s="3" t="s">
        <v>40</v>
      </c>
      <c r="B44">
        <v>145.9</v>
      </c>
      <c r="C44">
        <v>138.5</v>
      </c>
      <c r="D44">
        <v>148.5</v>
      </c>
      <c r="E44">
        <v>140.19999999999999</v>
      </c>
      <c r="F44" s="46" t="s">
        <v>124</v>
      </c>
      <c r="G44" s="3" t="s">
        <v>37</v>
      </c>
      <c r="H44" t="e">
        <v>#DIV/0!</v>
      </c>
      <c r="I44" t="e">
        <v>#DIV/0!</v>
      </c>
      <c r="J44" t="e">
        <v>#DIV/0!</v>
      </c>
      <c r="K44" t="e">
        <v>#DIV/0!</v>
      </c>
    </row>
    <row r="45" spans="1:13" x14ac:dyDescent="0.3">
      <c r="A45" s="3" t="s">
        <v>41</v>
      </c>
      <c r="B45">
        <v>147</v>
      </c>
      <c r="C45">
        <v>139.19999999999999</v>
      </c>
      <c r="D45">
        <v>149</v>
      </c>
      <c r="E45">
        <v>140.69999999999999</v>
      </c>
      <c r="F45" s="47" t="s">
        <v>111</v>
      </c>
      <c r="G45" s="3" t="s">
        <v>38</v>
      </c>
      <c r="H45">
        <v>154</v>
      </c>
      <c r="I45">
        <v>141.9</v>
      </c>
      <c r="J45">
        <v>154.4</v>
      </c>
      <c r="K45">
        <v>147</v>
      </c>
      <c r="M45" s="13" t="s">
        <v>91</v>
      </c>
    </row>
    <row r="46" spans="1:13" x14ac:dyDescent="0.3">
      <c r="A46" s="3" t="s">
        <v>42</v>
      </c>
      <c r="B46">
        <v>149.6</v>
      </c>
      <c r="C46">
        <v>140.6</v>
      </c>
      <c r="D46">
        <v>149.4</v>
      </c>
      <c r="E46">
        <v>141</v>
      </c>
      <c r="F46" s="47" t="s">
        <v>112</v>
      </c>
      <c r="G46" s="3" t="s">
        <v>39</v>
      </c>
      <c r="H46">
        <v>154</v>
      </c>
      <c r="I46">
        <v>141.9</v>
      </c>
      <c r="J46">
        <v>154.4</v>
      </c>
      <c r="K46">
        <v>147</v>
      </c>
      <c r="M46" s="13" t="s">
        <v>92</v>
      </c>
    </row>
    <row r="47" spans="1:13" x14ac:dyDescent="0.3">
      <c r="A47" s="3" t="s">
        <v>43</v>
      </c>
      <c r="B47">
        <v>151.9</v>
      </c>
      <c r="C47">
        <v>142.30000000000001</v>
      </c>
      <c r="D47">
        <v>149.9</v>
      </c>
      <c r="E47">
        <v>141.30000000000001</v>
      </c>
      <c r="G47" s="3" t="s">
        <v>40</v>
      </c>
      <c r="H47">
        <v>157</v>
      </c>
      <c r="I47">
        <v>143</v>
      </c>
      <c r="J47">
        <v>155</v>
      </c>
      <c r="K47">
        <v>149</v>
      </c>
      <c r="M47" s="13" t="s">
        <v>106</v>
      </c>
    </row>
    <row r="48" spans="1:13" x14ac:dyDescent="0.3">
      <c r="A48" s="3" t="s">
        <v>44</v>
      </c>
      <c r="B48">
        <v>155</v>
      </c>
      <c r="C48">
        <v>143.69999999999999</v>
      </c>
      <c r="D48">
        <v>150.4</v>
      </c>
      <c r="E48">
        <v>142.5</v>
      </c>
      <c r="G48" s="3" t="s">
        <v>41</v>
      </c>
      <c r="H48">
        <v>158</v>
      </c>
      <c r="I48">
        <v>142.9</v>
      </c>
      <c r="J48">
        <v>155.6</v>
      </c>
      <c r="K48">
        <v>150</v>
      </c>
      <c r="M48" s="13" t="s">
        <v>107</v>
      </c>
    </row>
    <row r="49" spans="1:15" x14ac:dyDescent="0.3">
      <c r="A49" s="2">
        <v>2020</v>
      </c>
      <c r="G49" s="3" t="s">
        <v>42</v>
      </c>
      <c r="H49">
        <v>161.4</v>
      </c>
      <c r="I49">
        <v>143.1</v>
      </c>
      <c r="J49">
        <v>156.30000000000001</v>
      </c>
      <c r="K49">
        <v>150.4</v>
      </c>
    </row>
    <row r="50" spans="1:15" x14ac:dyDescent="0.3">
      <c r="A50" s="3" t="s">
        <v>30</v>
      </c>
      <c r="B50">
        <v>153.5</v>
      </c>
      <c r="C50">
        <v>144.6</v>
      </c>
      <c r="D50">
        <v>151.19999999999999</v>
      </c>
      <c r="E50">
        <v>143.4</v>
      </c>
      <c r="G50" s="3" t="s">
        <v>43</v>
      </c>
      <c r="H50">
        <v>164.7</v>
      </c>
      <c r="I50">
        <v>143.6</v>
      </c>
      <c r="J50">
        <v>157.19999999999999</v>
      </c>
      <c r="K50">
        <v>150.69999999999999</v>
      </c>
    </row>
    <row r="51" spans="1:15" x14ac:dyDescent="0.3">
      <c r="A51" s="3" t="s">
        <v>34</v>
      </c>
      <c r="B51">
        <v>150.5</v>
      </c>
      <c r="C51">
        <v>147.19999999999999</v>
      </c>
      <c r="D51">
        <v>151.69999999999999</v>
      </c>
      <c r="E51">
        <v>143.6</v>
      </c>
      <c r="G51" s="3" t="s">
        <v>44</v>
      </c>
      <c r="H51">
        <v>165.4</v>
      </c>
      <c r="I51">
        <v>144.6</v>
      </c>
      <c r="J51">
        <v>158.30000000000001</v>
      </c>
      <c r="K51">
        <v>151.19999999999999</v>
      </c>
    </row>
    <row r="52" spans="1:15" x14ac:dyDescent="0.3">
      <c r="A52" s="3" t="s">
        <v>35</v>
      </c>
      <c r="B52">
        <v>148.9</v>
      </c>
      <c r="C52">
        <v>148.9</v>
      </c>
      <c r="D52">
        <v>152.30000000000001</v>
      </c>
      <c r="E52">
        <v>143.80000000000001</v>
      </c>
      <c r="G52" s="2">
        <v>2021</v>
      </c>
    </row>
    <row r="53" spans="1:15" x14ac:dyDescent="0.3">
      <c r="A53" s="2" t="s">
        <v>47</v>
      </c>
      <c r="B53" s="7">
        <v>148.23636363636365</v>
      </c>
      <c r="C53" s="7">
        <v>142.34545454545457</v>
      </c>
      <c r="D53" s="7">
        <v>149.50909090909093</v>
      </c>
      <c r="E53" s="7">
        <v>141.16363636363636</v>
      </c>
      <c r="G53" s="3" t="s">
        <v>30</v>
      </c>
      <c r="H53">
        <v>161</v>
      </c>
      <c r="I53">
        <v>147.9</v>
      </c>
      <c r="J53">
        <v>159.30000000000001</v>
      </c>
      <c r="K53">
        <v>151.9</v>
      </c>
    </row>
    <row r="54" spans="1:15" x14ac:dyDescent="0.3">
      <c r="G54" s="3" t="s">
        <v>34</v>
      </c>
      <c r="H54">
        <v>156.9</v>
      </c>
      <c r="I54">
        <v>152.4</v>
      </c>
      <c r="J54">
        <v>161.30000000000001</v>
      </c>
      <c r="K54">
        <v>153.4</v>
      </c>
    </row>
    <row r="55" spans="1:15" ht="15.6" x14ac:dyDescent="0.3">
      <c r="A55" s="36" t="s">
        <v>56</v>
      </c>
      <c r="B55" s="37" t="s">
        <v>29</v>
      </c>
      <c r="G55" s="3" t="s">
        <v>35</v>
      </c>
      <c r="H55">
        <v>156.69999999999999</v>
      </c>
      <c r="I55">
        <v>155.5</v>
      </c>
      <c r="J55">
        <v>161.69999999999999</v>
      </c>
      <c r="K55">
        <v>153.80000000000001</v>
      </c>
    </row>
    <row r="56" spans="1:15" x14ac:dyDescent="0.3">
      <c r="G56" s="2" t="s">
        <v>47</v>
      </c>
      <c r="H56" s="7">
        <v>158.22727272727275</v>
      </c>
      <c r="I56" s="7">
        <v>145.53636363636363</v>
      </c>
      <c r="J56" s="7">
        <v>156.74545454545455</v>
      </c>
      <c r="K56" s="7">
        <v>150.44</v>
      </c>
    </row>
    <row r="57" spans="1:15" ht="15.6" x14ac:dyDescent="0.3">
      <c r="B57" s="35"/>
      <c r="C57" s="12"/>
      <c r="D57" s="12"/>
      <c r="E57" s="12"/>
      <c r="F57" s="12"/>
    </row>
    <row r="58" spans="1:15" ht="15.6" x14ac:dyDescent="0.3">
      <c r="B58" s="35" t="s">
        <v>57</v>
      </c>
      <c r="C58" s="12" t="s">
        <v>59</v>
      </c>
      <c r="D58" s="12" t="s">
        <v>60</v>
      </c>
      <c r="E58" s="12" t="s">
        <v>22</v>
      </c>
      <c r="F58" s="12" t="s">
        <v>27</v>
      </c>
      <c r="G58" s="12"/>
    </row>
    <row r="59" spans="1:15" ht="26.4" x14ac:dyDescent="0.3">
      <c r="B59" s="32" t="s">
        <v>93</v>
      </c>
      <c r="C59" s="38">
        <v>147.01818181818183</v>
      </c>
      <c r="D59" s="38">
        <v>148.80909090909094</v>
      </c>
      <c r="E59" s="38">
        <v>153.88181818181818</v>
      </c>
      <c r="F59" s="38">
        <v>145.88181818181818</v>
      </c>
      <c r="G59" s="12" t="s">
        <v>133</v>
      </c>
    </row>
    <row r="60" spans="1:15" ht="26.4" x14ac:dyDescent="0.3">
      <c r="B60" s="33" t="s">
        <v>94</v>
      </c>
      <c r="C60" s="38">
        <v>156.58181818181819</v>
      </c>
      <c r="D60" s="38">
        <v>148.60909090909092</v>
      </c>
      <c r="E60" s="38">
        <v>160.13636363636363</v>
      </c>
      <c r="F60" s="38">
        <v>154.44999999999999</v>
      </c>
      <c r="G60" s="12" t="s">
        <v>134</v>
      </c>
    </row>
    <row r="61" spans="1:15" ht="15.6" x14ac:dyDescent="0.3">
      <c r="B61" s="34" t="s">
        <v>58</v>
      </c>
      <c r="C61" s="7">
        <f>(C60-C59)/C59*100</f>
        <v>6.5050704922087546</v>
      </c>
      <c r="D61" s="7">
        <f t="shared" ref="D61:F61" si="0">(D60-D59)/D59*100</f>
        <v>-0.13440039098296702</v>
      </c>
      <c r="E61" s="7">
        <f t="shared" si="0"/>
        <v>4.0645123175990996</v>
      </c>
      <c r="F61" s="7">
        <f t="shared" si="0"/>
        <v>5.8733719698385958</v>
      </c>
      <c r="G61" s="12" t="s">
        <v>138</v>
      </c>
    </row>
    <row r="62" spans="1:15" ht="15.6" x14ac:dyDescent="0.3">
      <c r="G62" s="12" t="s">
        <v>144</v>
      </c>
    </row>
    <row r="63" spans="1:15" ht="15.6" x14ac:dyDescent="0.3">
      <c r="A63" s="36" t="s">
        <v>56</v>
      </c>
      <c r="B63" s="37" t="s">
        <v>32</v>
      </c>
      <c r="G63" s="12" t="s">
        <v>139</v>
      </c>
    </row>
    <row r="64" spans="1:15" ht="15.6" x14ac:dyDescent="0.3">
      <c r="G64" s="12"/>
      <c r="O64" s="12"/>
    </row>
    <row r="65" spans="1:15" ht="15.6" x14ac:dyDescent="0.3">
      <c r="G65" s="12"/>
    </row>
    <row r="66" spans="1:15" ht="15.6" x14ac:dyDescent="0.3">
      <c r="B66" s="35" t="s">
        <v>57</v>
      </c>
      <c r="C66" s="12" t="s">
        <v>59</v>
      </c>
      <c r="D66" s="12" t="s">
        <v>60</v>
      </c>
      <c r="E66" s="12" t="s">
        <v>22</v>
      </c>
      <c r="F66" s="12" t="s">
        <v>27</v>
      </c>
    </row>
    <row r="67" spans="1:15" ht="26.4" x14ac:dyDescent="0.3">
      <c r="B67" s="32" t="s">
        <v>93</v>
      </c>
      <c r="C67" s="38">
        <v>150.33636363636361</v>
      </c>
      <c r="D67" s="38">
        <v>131.73636363636362</v>
      </c>
      <c r="E67" s="38">
        <v>142.35454545454547</v>
      </c>
      <c r="F67" s="38">
        <v>136.17272727272731</v>
      </c>
      <c r="G67" s="12" t="s">
        <v>97</v>
      </c>
    </row>
    <row r="68" spans="1:15" ht="26.4" x14ac:dyDescent="0.3">
      <c r="B68" s="33" t="s">
        <v>94</v>
      </c>
      <c r="C68" s="38">
        <v>161.06363636363636</v>
      </c>
      <c r="D68" s="38">
        <v>140.53636363636363</v>
      </c>
      <c r="E68" s="38">
        <v>151.17272727272729</v>
      </c>
      <c r="F68" s="38">
        <v>146.13999999999999</v>
      </c>
      <c r="G68" s="12" t="s">
        <v>135</v>
      </c>
    </row>
    <row r="69" spans="1:15" ht="15.6" x14ac:dyDescent="0.3">
      <c r="B69" s="34" t="s">
        <v>58</v>
      </c>
      <c r="C69" s="7">
        <f>(C68-C67)/C67*100</f>
        <v>7.1355143012638473</v>
      </c>
      <c r="D69" s="7">
        <f t="shared" ref="D69:F69" si="1">(D68-D67)/D67*100</f>
        <v>6.6800082810020101</v>
      </c>
      <c r="E69" s="7">
        <f t="shared" si="1"/>
        <v>6.1945207229069501</v>
      </c>
      <c r="F69" s="7">
        <f t="shared" si="1"/>
        <v>7.3195807463782199</v>
      </c>
      <c r="G69" s="12" t="s">
        <v>140</v>
      </c>
    </row>
    <row r="70" spans="1:15" ht="15.6" x14ac:dyDescent="0.3">
      <c r="G70" s="12" t="s">
        <v>141</v>
      </c>
    </row>
    <row r="71" spans="1:15" ht="15.6" x14ac:dyDescent="0.3">
      <c r="A71" s="36" t="s">
        <v>56</v>
      </c>
      <c r="B71" s="37" t="s">
        <v>61</v>
      </c>
      <c r="G71" s="12" t="s">
        <v>95</v>
      </c>
    </row>
    <row r="72" spans="1:15" ht="15.6" x14ac:dyDescent="0.3">
      <c r="G72" s="12"/>
      <c r="O72" s="12"/>
    </row>
    <row r="73" spans="1:15" ht="15.6" x14ac:dyDescent="0.3">
      <c r="B73" s="35" t="s">
        <v>57</v>
      </c>
      <c r="C73" s="12" t="s">
        <v>59</v>
      </c>
      <c r="D73" s="12" t="s">
        <v>60</v>
      </c>
      <c r="E73" s="12" t="s">
        <v>22</v>
      </c>
      <c r="F73" s="12" t="s">
        <v>27</v>
      </c>
    </row>
    <row r="74" spans="1:15" ht="26.4" x14ac:dyDescent="0.3">
      <c r="B74" s="32" t="s">
        <v>93</v>
      </c>
      <c r="C74" s="38">
        <v>148.23636363636365</v>
      </c>
      <c r="D74" s="38">
        <v>142.34545454545457</v>
      </c>
      <c r="E74" s="38">
        <v>149.50909090909093</v>
      </c>
      <c r="F74" s="38">
        <v>141.16363636363636</v>
      </c>
    </row>
    <row r="75" spans="1:15" ht="26.4" x14ac:dyDescent="0.3">
      <c r="B75" s="33" t="s">
        <v>94</v>
      </c>
      <c r="C75" s="38">
        <v>158.22727272727275</v>
      </c>
      <c r="D75" s="38">
        <v>145.53636363636363</v>
      </c>
      <c r="E75" s="38">
        <v>156.74545454545455</v>
      </c>
      <c r="F75" s="38">
        <v>150.44</v>
      </c>
      <c r="G75" s="12" t="s">
        <v>136</v>
      </c>
    </row>
    <row r="76" spans="1:15" ht="15.6" x14ac:dyDescent="0.3">
      <c r="B76" s="34" t="s">
        <v>58</v>
      </c>
      <c r="C76" s="7">
        <f>(C75-C74)/C74*100</f>
        <v>6.7398503618300065</v>
      </c>
      <c r="D76" s="7">
        <f t="shared" ref="D76:F76" si="2">(D75-D74)/D74*100</f>
        <v>2.2416656022480295</v>
      </c>
      <c r="E76" s="7">
        <f t="shared" si="2"/>
        <v>4.840082694880202</v>
      </c>
      <c r="F76" s="7">
        <f t="shared" si="2"/>
        <v>6.5713549716640935</v>
      </c>
      <c r="G76" s="12" t="s">
        <v>137</v>
      </c>
    </row>
    <row r="77" spans="1:15" ht="15.6" x14ac:dyDescent="0.3">
      <c r="G77" s="12" t="s">
        <v>142</v>
      </c>
    </row>
    <row r="78" spans="1:15" ht="15.6" x14ac:dyDescent="0.3">
      <c r="G78" s="12" t="s">
        <v>143</v>
      </c>
    </row>
    <row r="79" spans="1:15" ht="15.6" x14ac:dyDescent="0.3">
      <c r="G79" s="12" t="s">
        <v>108</v>
      </c>
    </row>
    <row r="80" spans="1:15" ht="18" x14ac:dyDescent="0.35">
      <c r="A80" s="15"/>
      <c r="B80" s="12"/>
      <c r="G80" s="12" t="s">
        <v>96</v>
      </c>
      <c r="H80" s="12"/>
    </row>
    <row r="82" spans="1:17" x14ac:dyDescent="0.3">
      <c r="B82" s="14"/>
      <c r="C82" s="14"/>
      <c r="D82" s="14"/>
      <c r="E82" s="14"/>
      <c r="H82" s="14"/>
      <c r="I82" s="14"/>
      <c r="J82" s="14"/>
      <c r="K82" s="14"/>
    </row>
    <row r="83" spans="1:17" ht="15.6" x14ac:dyDescent="0.3">
      <c r="B83" s="12"/>
      <c r="C83" s="16"/>
      <c r="D83" s="17"/>
      <c r="E83" s="7"/>
      <c r="H83" s="12"/>
      <c r="I83" s="16"/>
      <c r="J83" s="17"/>
      <c r="K83" s="7"/>
    </row>
    <row r="84" spans="1:17" ht="15.6" x14ac:dyDescent="0.3">
      <c r="B84" s="12"/>
      <c r="E84" s="7"/>
      <c r="H84" s="12"/>
      <c r="K84" s="7"/>
    </row>
    <row r="85" spans="1:17" ht="15.6" x14ac:dyDescent="0.3">
      <c r="B85" s="12"/>
      <c r="E85" s="7"/>
      <c r="H85" s="12"/>
      <c r="K85" s="7"/>
    </row>
    <row r="86" spans="1:17" ht="15.6" x14ac:dyDescent="0.3">
      <c r="B86" s="12"/>
      <c r="E86" s="7"/>
      <c r="H86" s="12"/>
      <c r="K86" s="7"/>
    </row>
    <row r="88" spans="1:17" ht="18" x14ac:dyDescent="0.35">
      <c r="A88" s="15"/>
      <c r="B88" s="12"/>
    </row>
    <row r="89" spans="1:17" ht="18" x14ac:dyDescent="0.35">
      <c r="G89" s="15"/>
      <c r="H89" s="28"/>
      <c r="I89" s="24"/>
      <c r="J89" s="24"/>
      <c r="K89" s="24"/>
      <c r="L89" s="24"/>
      <c r="M89" s="27"/>
      <c r="N89" s="24"/>
      <c r="O89" s="24"/>
      <c r="P89" s="24"/>
      <c r="Q89" s="24"/>
    </row>
    <row r="90" spans="1:17" ht="15.6" x14ac:dyDescent="0.3">
      <c r="B90" s="14"/>
      <c r="C90" s="14"/>
      <c r="D90" s="14"/>
      <c r="E90" s="14"/>
      <c r="H90" s="23"/>
      <c r="I90" s="24"/>
      <c r="J90" s="24"/>
      <c r="K90" s="24"/>
      <c r="L90" s="24"/>
      <c r="M90" s="9"/>
    </row>
    <row r="91" spans="1:17" ht="15.6" x14ac:dyDescent="0.3">
      <c r="B91" s="12"/>
      <c r="C91" s="16"/>
      <c r="D91" s="17"/>
      <c r="E91" s="7"/>
      <c r="H91" s="8"/>
    </row>
    <row r="92" spans="1:17" ht="15.6" x14ac:dyDescent="0.3">
      <c r="B92" s="12"/>
      <c r="E92" s="7"/>
      <c r="H92" s="8"/>
    </row>
    <row r="93" spans="1:17" ht="15.6" x14ac:dyDescent="0.3">
      <c r="B93" s="12"/>
      <c r="E93" s="7"/>
      <c r="H93" s="8"/>
    </row>
    <row r="94" spans="1:17" ht="15.6" x14ac:dyDescent="0.3">
      <c r="B94" s="12"/>
      <c r="E94" s="7"/>
      <c r="H94" s="8"/>
    </row>
  </sheetData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044D-439E-4922-B962-C7C27EE9C0B4}">
  <dimension ref="A2:R206"/>
  <sheetViews>
    <sheetView topLeftCell="A22" zoomScale="80" workbookViewId="0">
      <selection activeCell="F89" sqref="F89"/>
    </sheetView>
  </sheetViews>
  <sheetFormatPr defaultRowHeight="14.4" x14ac:dyDescent="0.3"/>
  <cols>
    <col min="1" max="1" width="14.109375" bestFit="1" customWidth="1"/>
    <col min="2" max="2" width="25.21875" bestFit="1" customWidth="1"/>
    <col min="3" max="3" width="35.5546875" bestFit="1" customWidth="1"/>
    <col min="4" max="4" width="27.109375" bestFit="1" customWidth="1"/>
    <col min="5" max="5" width="19.44140625" bestFit="1" customWidth="1"/>
    <col min="6" max="6" width="33.88671875" bestFit="1" customWidth="1"/>
    <col min="7" max="7" width="20.109375" bestFit="1" customWidth="1"/>
    <col min="9" max="9" width="14.109375" bestFit="1" customWidth="1"/>
    <col min="10" max="10" width="25.21875" bestFit="1" customWidth="1"/>
    <col min="11" max="11" width="32.5546875" bestFit="1" customWidth="1"/>
    <col min="12" max="12" width="27.109375" bestFit="1" customWidth="1"/>
    <col min="13" max="13" width="19.44140625" bestFit="1" customWidth="1"/>
    <col min="14" max="14" width="33.88671875" bestFit="1" customWidth="1"/>
    <col min="15" max="15" width="20.109375" bestFit="1" customWidth="1"/>
  </cols>
  <sheetData>
    <row r="2" spans="1:18" x14ac:dyDescent="0.3">
      <c r="A2" s="1" t="s">
        <v>45</v>
      </c>
      <c r="B2" t="s" vm="1">
        <v>29</v>
      </c>
    </row>
    <row r="3" spans="1:18" x14ac:dyDescent="0.3">
      <c r="Q3" s="18"/>
    </row>
    <row r="4" spans="1:18" x14ac:dyDescent="0.3">
      <c r="A4" s="1" t="s">
        <v>46</v>
      </c>
      <c r="B4" t="s">
        <v>51</v>
      </c>
      <c r="C4" t="s">
        <v>62</v>
      </c>
      <c r="D4" t="s">
        <v>63</v>
      </c>
    </row>
    <row r="5" spans="1:18" x14ac:dyDescent="0.3">
      <c r="A5" s="2">
        <v>2021</v>
      </c>
      <c r="B5" s="6"/>
      <c r="C5" s="6"/>
      <c r="D5" s="6"/>
    </row>
    <row r="6" spans="1:18" x14ac:dyDescent="0.3">
      <c r="A6" s="3" t="s">
        <v>30</v>
      </c>
      <c r="B6" s="6"/>
      <c r="C6" s="6"/>
      <c r="D6" s="6"/>
    </row>
    <row r="7" spans="1:18" x14ac:dyDescent="0.3">
      <c r="A7" s="3" t="s">
        <v>34</v>
      </c>
      <c r="B7" s="6">
        <v>2.3194168323392973E-2</v>
      </c>
      <c r="C7" s="6">
        <v>1.8305084745762635E-2</v>
      </c>
      <c r="D7" s="6">
        <v>-1.135646687697168E-2</v>
      </c>
    </row>
    <row r="8" spans="1:18" x14ac:dyDescent="0.3">
      <c r="A8" s="3" t="s">
        <v>35</v>
      </c>
      <c r="B8" s="6">
        <v>1.0362694300518097E-2</v>
      </c>
      <c r="C8" s="6">
        <v>7.3235685752331744E-3</v>
      </c>
      <c r="D8" s="6">
        <v>0</v>
      </c>
    </row>
    <row r="9" spans="1:18" ht="15.6" x14ac:dyDescent="0.3">
      <c r="A9" s="3" t="s">
        <v>36</v>
      </c>
      <c r="B9" s="6">
        <v>0</v>
      </c>
      <c r="C9" s="6">
        <v>2.6437541308656789E-3</v>
      </c>
      <c r="D9" s="6">
        <v>5.7434588385450267E-3</v>
      </c>
      <c r="Q9" s="10"/>
      <c r="R9" s="12"/>
    </row>
    <row r="10" spans="1:18" x14ac:dyDescent="0.3">
      <c r="A10" s="3" t="s">
        <v>37</v>
      </c>
      <c r="B10" s="6">
        <v>3.6538461538461464E-2</v>
      </c>
      <c r="C10" s="6">
        <v>9.8879367172050106E-3</v>
      </c>
      <c r="D10" s="6">
        <v>2.2208121827411168E-2</v>
      </c>
    </row>
    <row r="11" spans="1:18" x14ac:dyDescent="0.3">
      <c r="A11" s="3" t="s">
        <v>38</v>
      </c>
      <c r="B11" s="6">
        <v>2.4737167594310805E-3</v>
      </c>
      <c r="C11" s="6">
        <v>6.5274151436031337E-3</v>
      </c>
      <c r="D11" s="6">
        <v>6.2073246430788334E-3</v>
      </c>
    </row>
    <row r="12" spans="1:18" ht="15.6" x14ac:dyDescent="0.3">
      <c r="A12" s="3" t="s">
        <v>39</v>
      </c>
      <c r="B12" s="6">
        <v>2.4676125848242178E-3</v>
      </c>
      <c r="C12" s="6">
        <v>1.8806744487678377E-2</v>
      </c>
      <c r="D12" s="6">
        <v>6.7859346082664671E-3</v>
      </c>
      <c r="R12" s="12"/>
    </row>
    <row r="13" spans="1:18" ht="15.6" x14ac:dyDescent="0.3">
      <c r="A13" s="3" t="s">
        <v>40</v>
      </c>
      <c r="B13" s="6">
        <v>3.6923076923076575E-3</v>
      </c>
      <c r="C13" s="6">
        <v>3.8192234245703013E-3</v>
      </c>
      <c r="D13" s="6">
        <v>2.4509803921568978E-3</v>
      </c>
      <c r="R13" s="12"/>
    </row>
    <row r="14" spans="1:18" ht="15.6" x14ac:dyDescent="0.3">
      <c r="A14" s="3" t="s">
        <v>41</v>
      </c>
      <c r="B14" s="6">
        <v>3.6787247087675923E-3</v>
      </c>
      <c r="C14" s="6">
        <v>6.3411540900458301E-4</v>
      </c>
      <c r="D14" s="6">
        <v>2.4449877750611594E-3</v>
      </c>
      <c r="R14" s="12"/>
    </row>
    <row r="15" spans="1:18" ht="15.6" x14ac:dyDescent="0.3">
      <c r="A15" s="3" t="s">
        <v>42</v>
      </c>
      <c r="B15" s="6">
        <v>1.0995723885155843E-2</v>
      </c>
      <c r="C15" s="6">
        <v>1.0773130544993591E-2</v>
      </c>
      <c r="D15" s="6">
        <v>1.4024390243902509E-2</v>
      </c>
      <c r="R15" s="12"/>
    </row>
    <row r="16" spans="1:18" x14ac:dyDescent="0.3">
      <c r="A16" s="3" t="s">
        <v>43</v>
      </c>
      <c r="B16" s="6">
        <v>-1.2084592145014418E-3</v>
      </c>
      <c r="C16" s="6">
        <v>-3.7617554858933814E-3</v>
      </c>
      <c r="D16" s="6">
        <v>7.8171978352374188E-3</v>
      </c>
    </row>
    <row r="17" spans="1:4" x14ac:dyDescent="0.3">
      <c r="A17" s="3" t="s">
        <v>44</v>
      </c>
      <c r="B17" s="6">
        <v>1.8148820326677733E-3</v>
      </c>
      <c r="C17" s="6">
        <v>7.551919446192502E-3</v>
      </c>
      <c r="D17" s="6">
        <v>-3.579952267303069E-3</v>
      </c>
    </row>
    <row r="18" spans="1:4" x14ac:dyDescent="0.3">
      <c r="A18" s="2">
        <v>2022</v>
      </c>
      <c r="B18" s="6"/>
      <c r="C18" s="6"/>
      <c r="D18" s="6"/>
    </row>
    <row r="19" spans="1:4" x14ac:dyDescent="0.3">
      <c r="A19" s="3" t="s">
        <v>30</v>
      </c>
      <c r="B19" s="6"/>
      <c r="C19" s="6"/>
      <c r="D19" s="6"/>
    </row>
    <row r="20" spans="1:4" x14ac:dyDescent="0.3">
      <c r="A20" s="3" t="s">
        <v>34</v>
      </c>
      <c r="B20" s="6">
        <v>9.6501809408926064E-3</v>
      </c>
      <c r="C20" s="6">
        <v>2.4875621890545849E-3</v>
      </c>
      <c r="D20" s="6">
        <v>1.8028846153845129E-3</v>
      </c>
    </row>
    <row r="21" spans="1:4" x14ac:dyDescent="0.3">
      <c r="A21" s="3" t="s">
        <v>35</v>
      </c>
      <c r="B21" s="6">
        <v>8.9605734767025085E-3</v>
      </c>
      <c r="C21" s="6">
        <v>4.9627791563276145E-3</v>
      </c>
      <c r="D21" s="6">
        <v>1.199760047990402E-2</v>
      </c>
    </row>
    <row r="22" spans="1:4" x14ac:dyDescent="0.3">
      <c r="A22" s="3" t="s">
        <v>36</v>
      </c>
      <c r="B22" s="6">
        <v>2.6050917702782745E-2</v>
      </c>
      <c r="C22" s="6">
        <v>2.5925925925925856E-2</v>
      </c>
      <c r="D22" s="6">
        <v>1.2448132780083124E-2</v>
      </c>
    </row>
    <row r="23" spans="1:4" x14ac:dyDescent="0.3">
      <c r="A23" s="3" t="s">
        <v>37</v>
      </c>
      <c r="B23" s="6">
        <v>1.1540680900173109E-2</v>
      </c>
      <c r="C23" s="6">
        <v>5.4151624548736807E-3</v>
      </c>
      <c r="D23" s="6">
        <v>9.9531615925057878E-3</v>
      </c>
    </row>
    <row r="24" spans="1:4" x14ac:dyDescent="0.3">
      <c r="A24" s="3" t="s">
        <v>38</v>
      </c>
      <c r="B24" s="6">
        <v>7.9863091842554308E-3</v>
      </c>
      <c r="C24" s="6">
        <v>-9.5751047277079261E-3</v>
      </c>
      <c r="D24" s="6">
        <v>6.3768115942028653E-3</v>
      </c>
    </row>
    <row r="25" spans="1:4" x14ac:dyDescent="0.3">
      <c r="A25" s="3" t="s">
        <v>39</v>
      </c>
      <c r="B25" s="6">
        <v>1.6411997736276208E-2</v>
      </c>
      <c r="C25" s="6">
        <v>4.8338368580061108E-3</v>
      </c>
      <c r="D25" s="6">
        <v>4.0322580645162278E-3</v>
      </c>
    </row>
    <row r="26" spans="1:4" x14ac:dyDescent="0.3">
      <c r="A26" s="3" t="s">
        <v>40</v>
      </c>
      <c r="B26" s="6">
        <v>-2.7839643652561247E-3</v>
      </c>
      <c r="C26" s="6">
        <v>1.8039687312085564E-3</v>
      </c>
      <c r="D26" s="6">
        <v>5.737234652897303E-3</v>
      </c>
    </row>
    <row r="27" spans="1:4" x14ac:dyDescent="0.3">
      <c r="A27" s="3" t="s">
        <v>41</v>
      </c>
      <c r="B27" s="6">
        <v>3.3500837520937707E-3</v>
      </c>
      <c r="C27" s="6">
        <v>1.8007202881153144E-3</v>
      </c>
      <c r="D27" s="6">
        <v>6.2749572162007659E-3</v>
      </c>
    </row>
    <row r="28" spans="1:4" x14ac:dyDescent="0.3">
      <c r="A28" s="3" t="s">
        <v>42</v>
      </c>
      <c r="B28" s="6">
        <v>6.1213132999444787E-3</v>
      </c>
      <c r="C28" s="6">
        <v>2.9958058717795086E-3</v>
      </c>
      <c r="D28" s="6">
        <v>8.5034013605442167E-3</v>
      </c>
    </row>
    <row r="29" spans="1:4" x14ac:dyDescent="0.3">
      <c r="A29" s="3" t="s">
        <v>43</v>
      </c>
      <c r="B29" s="6">
        <v>6.0840707964601448E-3</v>
      </c>
      <c r="C29" s="6">
        <v>5.9737156511346663E-4</v>
      </c>
      <c r="D29" s="6">
        <v>-5.6211354693644919E-4</v>
      </c>
    </row>
    <row r="30" spans="1:4" x14ac:dyDescent="0.3">
      <c r="A30" s="3" t="s">
        <v>44</v>
      </c>
      <c r="B30" s="6">
        <v>4.9477735019241654E-3</v>
      </c>
      <c r="C30" s="6">
        <v>1.7910447761194709E-3</v>
      </c>
      <c r="D30" s="6">
        <v>-3.9370078740158434E-3</v>
      </c>
    </row>
    <row r="31" spans="1:4" x14ac:dyDescent="0.3">
      <c r="A31" s="2">
        <v>2023</v>
      </c>
      <c r="B31" s="6"/>
      <c r="C31" s="6"/>
      <c r="D31" s="6"/>
    </row>
    <row r="32" spans="1:4" x14ac:dyDescent="0.3">
      <c r="A32" s="3" t="s">
        <v>30</v>
      </c>
      <c r="B32" s="6"/>
      <c r="C32" s="6"/>
      <c r="D32" s="6"/>
    </row>
    <row r="33" spans="1:6" x14ac:dyDescent="0.3">
      <c r="A33" s="3" t="s">
        <v>34</v>
      </c>
      <c r="B33" s="6">
        <v>-8.7336244541484417E-3</v>
      </c>
      <c r="C33" s="6">
        <v>4.756242568371055E-3</v>
      </c>
      <c r="D33" s="6">
        <v>1.1248593925758639E-3</v>
      </c>
    </row>
    <row r="34" spans="1:6" x14ac:dyDescent="0.3">
      <c r="A34" s="3" t="s">
        <v>35</v>
      </c>
      <c r="B34" s="6">
        <v>-1.1013215859030211E-3</v>
      </c>
      <c r="C34" s="6">
        <v>0</v>
      </c>
      <c r="D34" s="6">
        <v>0</v>
      </c>
    </row>
    <row r="35" spans="1:6" x14ac:dyDescent="0.3">
      <c r="A35" s="3" t="s">
        <v>36</v>
      </c>
      <c r="B35" s="6">
        <v>5.5126791620724541E-4</v>
      </c>
      <c r="C35" s="6">
        <v>2.3668639053254772E-3</v>
      </c>
      <c r="D35" s="6">
        <v>4.4943820224719738E-3</v>
      </c>
    </row>
    <row r="36" spans="1:6" x14ac:dyDescent="0.3">
      <c r="A36" s="3" t="s">
        <v>37</v>
      </c>
      <c r="B36" s="6">
        <v>5.5096418732782371E-3</v>
      </c>
      <c r="C36" s="6">
        <v>1.7709563164107611E-3</v>
      </c>
      <c r="D36" s="6">
        <v>5.5928411633109614E-3</v>
      </c>
    </row>
    <row r="38" spans="1:6" ht="15.6" x14ac:dyDescent="0.3">
      <c r="A38" s="10" t="s">
        <v>54</v>
      </c>
      <c r="B38" s="12" t="s">
        <v>29</v>
      </c>
    </row>
    <row r="40" spans="1:6" ht="15.6" x14ac:dyDescent="0.3">
      <c r="B40" s="29" t="s">
        <v>115</v>
      </c>
      <c r="C40" s="29"/>
      <c r="D40" s="29"/>
      <c r="E40" s="29"/>
      <c r="F40" s="29"/>
    </row>
    <row r="41" spans="1:6" ht="15.6" x14ac:dyDescent="0.3">
      <c r="B41" s="23" t="s">
        <v>116</v>
      </c>
      <c r="C41" s="29"/>
      <c r="D41" s="29"/>
      <c r="E41" s="29"/>
      <c r="F41" s="29"/>
    </row>
    <row r="42" spans="1:6" ht="15.6" x14ac:dyDescent="0.3">
      <c r="B42" s="23" t="s">
        <v>125</v>
      </c>
      <c r="C42" s="29"/>
      <c r="D42" s="29"/>
      <c r="E42" s="29"/>
      <c r="F42" s="29"/>
    </row>
    <row r="43" spans="1:6" ht="15.6" x14ac:dyDescent="0.3">
      <c r="B43" s="23" t="s">
        <v>117</v>
      </c>
      <c r="C43" s="29"/>
      <c r="D43" s="29"/>
      <c r="E43" s="29"/>
      <c r="F43" s="29"/>
    </row>
    <row r="44" spans="1:6" ht="15.6" x14ac:dyDescent="0.3">
      <c r="B44" s="23" t="s">
        <v>64</v>
      </c>
      <c r="C44" s="29"/>
      <c r="D44" s="29"/>
      <c r="E44" s="29"/>
      <c r="F44" s="29"/>
    </row>
    <row r="46" spans="1:6" x14ac:dyDescent="0.3">
      <c r="A46" s="1" t="s">
        <v>45</v>
      </c>
      <c r="B46" t="s" vm="2">
        <v>32</v>
      </c>
    </row>
    <row r="48" spans="1:6" x14ac:dyDescent="0.3">
      <c r="A48" s="1" t="s">
        <v>46</v>
      </c>
      <c r="B48" t="s">
        <v>51</v>
      </c>
      <c r="C48" t="s">
        <v>62</v>
      </c>
      <c r="D48" t="s">
        <v>63</v>
      </c>
    </row>
    <row r="49" spans="1:18" x14ac:dyDescent="0.3">
      <c r="A49" s="2">
        <v>2021</v>
      </c>
      <c r="B49" s="6"/>
      <c r="C49" s="6"/>
      <c r="D49" s="6"/>
    </row>
    <row r="50" spans="1:18" x14ac:dyDescent="0.3">
      <c r="A50" s="3" t="s">
        <v>30</v>
      </c>
      <c r="B50" s="6"/>
      <c r="C50" s="6"/>
      <c r="D50" s="6"/>
    </row>
    <row r="51" spans="1:18" x14ac:dyDescent="0.3">
      <c r="A51" s="3" t="s">
        <v>34</v>
      </c>
      <c r="B51" s="6">
        <v>4.3386983904828473E-2</v>
      </c>
      <c r="C51" s="6">
        <v>2.6296566837107335E-2</v>
      </c>
      <c r="D51" s="6">
        <v>3.205128205128205E-3</v>
      </c>
    </row>
    <row r="52" spans="1:18" x14ac:dyDescent="0.3">
      <c r="A52" s="3" t="s">
        <v>35</v>
      </c>
      <c r="B52" s="6">
        <v>3.822937625754539E-2</v>
      </c>
      <c r="C52" s="6">
        <v>8.5409252669038337E-3</v>
      </c>
      <c r="D52" s="6">
        <v>2.5559105431310269E-3</v>
      </c>
    </row>
    <row r="53" spans="1:18" x14ac:dyDescent="0.3">
      <c r="A53" s="3" t="s">
        <v>36</v>
      </c>
      <c r="B53" s="6">
        <v>6.4599483204130694E-4</v>
      </c>
      <c r="C53" s="6">
        <v>2.8228652081863496E-3</v>
      </c>
      <c r="D53" s="6">
        <v>7.0108349267048713E-3</v>
      </c>
    </row>
    <row r="54" spans="1:18" ht="15.6" x14ac:dyDescent="0.3">
      <c r="A54" s="3" t="s">
        <v>37</v>
      </c>
      <c r="B54" s="6">
        <v>3.8734667527436689E-3</v>
      </c>
      <c r="C54" s="6">
        <v>2.0408163265306162E-2</v>
      </c>
      <c r="D54" s="6">
        <v>9.4936708860759497E-3</v>
      </c>
      <c r="Q54" s="10"/>
      <c r="R54" s="12"/>
    </row>
    <row r="55" spans="1:18" x14ac:dyDescent="0.3">
      <c r="A55" s="3" t="s">
        <v>38</v>
      </c>
      <c r="B55" s="6">
        <v>3.8585209003215068E-3</v>
      </c>
      <c r="C55" s="6">
        <v>1.7241379310344827E-2</v>
      </c>
      <c r="D55" s="6">
        <v>5.6426332288401614E-3</v>
      </c>
    </row>
    <row r="56" spans="1:18" x14ac:dyDescent="0.3">
      <c r="A56" s="3" t="s">
        <v>39</v>
      </c>
      <c r="B56" s="6">
        <v>1.0249839846252367E-2</v>
      </c>
      <c r="C56" s="6">
        <v>1.3559322033898305E-2</v>
      </c>
      <c r="D56" s="6">
        <v>8.7281795511222303E-3</v>
      </c>
    </row>
    <row r="57" spans="1:18" ht="15.6" x14ac:dyDescent="0.3">
      <c r="A57" s="3" t="s">
        <v>40</v>
      </c>
      <c r="B57" s="6">
        <v>1.9023462270133167E-2</v>
      </c>
      <c r="C57" s="6">
        <v>6.020066889632145E-3</v>
      </c>
      <c r="D57" s="6">
        <v>3.0902348578491965E-3</v>
      </c>
      <c r="R57" s="12"/>
    </row>
    <row r="58" spans="1:18" ht="15.6" x14ac:dyDescent="0.3">
      <c r="A58" s="3" t="s">
        <v>41</v>
      </c>
      <c r="B58" s="6">
        <v>6.2227753578109979E-4</v>
      </c>
      <c r="C58" s="6">
        <v>6.6489361702123874E-4</v>
      </c>
      <c r="D58" s="6">
        <v>0</v>
      </c>
      <c r="R58" s="12"/>
    </row>
    <row r="59" spans="1:18" ht="15.6" x14ac:dyDescent="0.3">
      <c r="A59" s="3" t="s">
        <v>42</v>
      </c>
      <c r="B59" s="6">
        <v>8.7064676616914003E-3</v>
      </c>
      <c r="C59" s="6">
        <v>1.1295681063122847E-2</v>
      </c>
      <c r="D59" s="6">
        <v>1.4171287738755286E-2</v>
      </c>
      <c r="R59" s="12"/>
    </row>
    <row r="60" spans="1:18" ht="15.6" x14ac:dyDescent="0.3">
      <c r="A60" s="3" t="s">
        <v>43</v>
      </c>
      <c r="B60" s="6">
        <v>-3.6991368680640837E-3</v>
      </c>
      <c r="C60" s="6">
        <v>-6.5703022339027601E-3</v>
      </c>
      <c r="D60" s="6">
        <v>6.0753341433778859E-3</v>
      </c>
      <c r="R60" s="12"/>
    </row>
    <row r="61" spans="1:18" x14ac:dyDescent="0.3">
      <c r="A61" s="3" t="s">
        <v>44</v>
      </c>
      <c r="B61" s="6">
        <v>6.1881188118808369E-4</v>
      </c>
      <c r="C61" s="6">
        <v>3.968253968254119E-3</v>
      </c>
      <c r="D61" s="6">
        <v>-2.4154589371981022E-3</v>
      </c>
    </row>
    <row r="62" spans="1:18" x14ac:dyDescent="0.3">
      <c r="A62" s="2">
        <v>2022</v>
      </c>
      <c r="B62" s="6"/>
      <c r="C62" s="6"/>
      <c r="D62" s="6"/>
    </row>
    <row r="63" spans="1:18" x14ac:dyDescent="0.3">
      <c r="A63" s="3" t="s">
        <v>30</v>
      </c>
      <c r="B63" s="6"/>
      <c r="C63" s="6"/>
      <c r="D63" s="6"/>
    </row>
    <row r="64" spans="1:18" x14ac:dyDescent="0.3">
      <c r="A64" s="3" t="s">
        <v>34</v>
      </c>
      <c r="B64" s="6">
        <v>8.6633663366336988E-3</v>
      </c>
      <c r="C64" s="6">
        <v>2.6195153896529516E-3</v>
      </c>
      <c r="D64" s="6">
        <v>3.0303030303030303E-3</v>
      </c>
    </row>
    <row r="65" spans="1:4" x14ac:dyDescent="0.3">
      <c r="A65" s="3" t="s">
        <v>35</v>
      </c>
      <c r="B65" s="6">
        <v>9.202453987730062E-3</v>
      </c>
      <c r="C65" s="6">
        <v>7.1848465055518902E-3</v>
      </c>
      <c r="D65" s="6">
        <v>6.0422960725075529E-3</v>
      </c>
    </row>
    <row r="66" spans="1:4" x14ac:dyDescent="0.3">
      <c r="A66" s="3" t="s">
        <v>36</v>
      </c>
      <c r="B66" s="6">
        <v>3.64741641337386E-2</v>
      </c>
      <c r="C66" s="6">
        <v>3.3073929961089647E-2</v>
      </c>
      <c r="D66" s="6">
        <v>1.6216216216216148E-2</v>
      </c>
    </row>
    <row r="67" spans="1:4" x14ac:dyDescent="0.3">
      <c r="A67" s="3" t="s">
        <v>37</v>
      </c>
      <c r="B67" s="6">
        <v>1.7595307917888565E-2</v>
      </c>
      <c r="C67" s="6">
        <v>6.2774639045821913E-4</v>
      </c>
      <c r="D67" s="6">
        <v>9.4562647754138467E-3</v>
      </c>
    </row>
    <row r="68" spans="1:4" x14ac:dyDescent="0.3">
      <c r="A68" s="3" t="s">
        <v>38</v>
      </c>
      <c r="B68" s="6">
        <v>8.0691642651297153E-3</v>
      </c>
      <c r="C68" s="6">
        <v>-1.3801756587202113E-2</v>
      </c>
      <c r="D68" s="6">
        <v>3.5128805620608565E-3</v>
      </c>
    </row>
    <row r="69" spans="1:4" x14ac:dyDescent="0.3">
      <c r="A69" s="3" t="s">
        <v>39</v>
      </c>
      <c r="B69" s="6">
        <v>2.6300743281875323E-2</v>
      </c>
      <c r="C69" s="6">
        <v>1.2722646310433655E-3</v>
      </c>
      <c r="D69" s="6">
        <v>5.2508751458576761E-3</v>
      </c>
    </row>
    <row r="70" spans="1:4" x14ac:dyDescent="0.3">
      <c r="A70" s="3" t="s">
        <v>40</v>
      </c>
      <c r="B70" s="6">
        <v>-6.1281337047353448E-3</v>
      </c>
      <c r="C70" s="6">
        <v>1.9059720457432208E-3</v>
      </c>
      <c r="D70" s="6">
        <v>4.6430644225187636E-3</v>
      </c>
    </row>
    <row r="71" spans="1:4" x14ac:dyDescent="0.3">
      <c r="A71" s="3" t="s">
        <v>41</v>
      </c>
      <c r="B71" s="6">
        <v>4.4843049327353305E-3</v>
      </c>
      <c r="C71" s="6">
        <v>3.1705770450221942E-3</v>
      </c>
      <c r="D71" s="6">
        <v>5.7770075101097633E-3</v>
      </c>
    </row>
    <row r="72" spans="1:4" x14ac:dyDescent="0.3">
      <c r="A72" s="3" t="s">
        <v>42</v>
      </c>
      <c r="B72" s="6">
        <v>4.4642857142857782E-3</v>
      </c>
      <c r="C72" s="6">
        <v>3.7926675094818126E-3</v>
      </c>
      <c r="D72" s="6">
        <v>6.8925904652499545E-3</v>
      </c>
    </row>
    <row r="73" spans="1:4" x14ac:dyDescent="0.3">
      <c r="A73" s="3" t="s">
        <v>43</v>
      </c>
      <c r="B73" s="6">
        <v>1.6666666666667299E-3</v>
      </c>
      <c r="C73" s="6">
        <v>6.2972292191432189E-4</v>
      </c>
      <c r="D73" s="6">
        <v>-6.8454078722191497E-3</v>
      </c>
    </row>
    <row r="74" spans="1:4" x14ac:dyDescent="0.3">
      <c r="A74" s="3" t="s">
        <v>44</v>
      </c>
      <c r="B74" s="6">
        <v>1.6638935108152131E-3</v>
      </c>
      <c r="C74" s="6">
        <v>3.1466331025802388E-3</v>
      </c>
      <c r="D74" s="6">
        <v>0</v>
      </c>
    </row>
    <row r="75" spans="1:4" x14ac:dyDescent="0.3">
      <c r="A75" s="2">
        <v>2023</v>
      </c>
      <c r="B75" s="6"/>
      <c r="C75" s="6"/>
      <c r="D75" s="6"/>
    </row>
    <row r="76" spans="1:4" x14ac:dyDescent="0.3">
      <c r="A76" s="3" t="s">
        <v>30</v>
      </c>
      <c r="B76" s="6"/>
      <c r="C76" s="6"/>
      <c r="D76" s="6"/>
    </row>
    <row r="77" spans="1:4" x14ac:dyDescent="0.3">
      <c r="A77" s="3" t="s">
        <v>34</v>
      </c>
      <c r="B77" s="6">
        <v>1.4991671293725804E-2</v>
      </c>
      <c r="C77" s="6">
        <v>1.8808777429467798E-3</v>
      </c>
      <c r="D77" s="6">
        <v>8.0045740423099233E-3</v>
      </c>
    </row>
    <row r="78" spans="1:4" x14ac:dyDescent="0.3">
      <c r="A78" s="3" t="s">
        <v>35</v>
      </c>
      <c r="B78" s="6">
        <v>-1.0940919037200057E-3</v>
      </c>
      <c r="C78" s="6">
        <v>0</v>
      </c>
      <c r="D78" s="6">
        <v>0</v>
      </c>
    </row>
    <row r="79" spans="1:4" x14ac:dyDescent="0.3">
      <c r="A79" s="3" t="s">
        <v>36</v>
      </c>
      <c r="B79" s="6">
        <v>-2.7382256297918948E-3</v>
      </c>
      <c r="C79" s="6">
        <v>1.877346683354086E-3</v>
      </c>
      <c r="D79" s="6">
        <v>6.239364719228555E-3</v>
      </c>
    </row>
    <row r="80" spans="1:4" x14ac:dyDescent="0.3">
      <c r="A80" s="3" t="s">
        <v>37</v>
      </c>
      <c r="B80" s="6">
        <v>7.1389346512905627E-3</v>
      </c>
      <c r="C80" s="6">
        <v>1.8738288569644683E-3</v>
      </c>
      <c r="D80" s="6">
        <v>4.5095828635850219E-3</v>
      </c>
    </row>
    <row r="82" spans="1:6" ht="15.6" x14ac:dyDescent="0.3">
      <c r="A82" s="10" t="s">
        <v>54</v>
      </c>
      <c r="B82" s="12" t="s">
        <v>32</v>
      </c>
    </row>
    <row r="84" spans="1:6" ht="15.6" x14ac:dyDescent="0.3">
      <c r="B84" s="29" t="s">
        <v>118</v>
      </c>
      <c r="C84" s="29"/>
      <c r="D84" s="29"/>
      <c r="E84" s="29"/>
      <c r="F84" s="29"/>
    </row>
    <row r="85" spans="1:6" ht="15.6" x14ac:dyDescent="0.3">
      <c r="B85" s="23" t="s">
        <v>119</v>
      </c>
      <c r="C85" s="29"/>
      <c r="D85" s="29"/>
      <c r="E85" s="29"/>
      <c r="F85" s="29"/>
    </row>
    <row r="86" spans="1:6" ht="15.6" x14ac:dyDescent="0.3">
      <c r="B86" s="23" t="s">
        <v>120</v>
      </c>
      <c r="C86" s="29"/>
      <c r="D86" s="29"/>
      <c r="E86" s="29"/>
      <c r="F86" s="29"/>
    </row>
    <row r="87" spans="1:6" ht="15.6" x14ac:dyDescent="0.3">
      <c r="B87" s="23" t="s">
        <v>127</v>
      </c>
      <c r="C87" s="29"/>
      <c r="D87" s="29"/>
      <c r="E87" s="29"/>
      <c r="F87" s="29"/>
    </row>
    <row r="88" spans="1:6" ht="15.6" x14ac:dyDescent="0.3">
      <c r="B88" s="23" t="s">
        <v>64</v>
      </c>
      <c r="C88" s="29"/>
      <c r="D88" s="29"/>
      <c r="E88" s="29"/>
      <c r="F88" s="29"/>
    </row>
    <row r="90" spans="1:6" x14ac:dyDescent="0.3">
      <c r="A90" s="1" t="s">
        <v>45</v>
      </c>
      <c r="B90" t="s" vm="3">
        <v>33</v>
      </c>
    </row>
    <row r="92" spans="1:6" x14ac:dyDescent="0.3">
      <c r="A92" s="1" t="s">
        <v>46</v>
      </c>
      <c r="B92" t="s">
        <v>51</v>
      </c>
      <c r="C92" t="s">
        <v>62</v>
      </c>
      <c r="D92" t="s">
        <v>63</v>
      </c>
    </row>
    <row r="93" spans="1:6" x14ac:dyDescent="0.3">
      <c r="A93" s="2">
        <v>2021</v>
      </c>
      <c r="B93" s="6"/>
      <c r="C93" s="6"/>
      <c r="D93" s="6"/>
    </row>
    <row r="94" spans="1:6" x14ac:dyDescent="0.3">
      <c r="A94" s="3" t="s">
        <v>30</v>
      </c>
      <c r="B94" s="6"/>
      <c r="C94" s="6"/>
      <c r="D94" s="6"/>
    </row>
    <row r="95" spans="1:6" x14ac:dyDescent="0.3">
      <c r="A95" s="3" t="s">
        <v>34</v>
      </c>
      <c r="B95" s="6">
        <v>3.0425963488843813E-2</v>
      </c>
      <c r="C95" s="6">
        <v>2.2551092318534097E-2</v>
      </c>
      <c r="D95" s="6">
        <v>-4.4500953591863762E-3</v>
      </c>
    </row>
    <row r="96" spans="1:6" x14ac:dyDescent="0.3">
      <c r="A96" s="3" t="s">
        <v>35</v>
      </c>
      <c r="B96" s="6">
        <v>2.0341207349081326E-2</v>
      </c>
      <c r="C96" s="6">
        <v>7.5809786354238068E-3</v>
      </c>
      <c r="D96" s="6">
        <v>1.2771392081737999E-3</v>
      </c>
    </row>
    <row r="97" spans="1:18" x14ac:dyDescent="0.3">
      <c r="A97" s="3" t="s">
        <v>36</v>
      </c>
      <c r="B97" s="6">
        <v>6.4308681672022071E-4</v>
      </c>
      <c r="C97" s="6">
        <v>2.7359781121751416E-3</v>
      </c>
      <c r="D97" s="6">
        <v>6.3775510204081625E-3</v>
      </c>
    </row>
    <row r="98" spans="1:18" x14ac:dyDescent="0.3">
      <c r="A98" s="3" t="s">
        <v>37</v>
      </c>
      <c r="B98" s="6">
        <v>2.4421593830334265E-2</v>
      </c>
      <c r="C98" s="6">
        <v>1.568894952251031E-2</v>
      </c>
      <c r="D98" s="6">
        <v>1.6476552598225565E-2</v>
      </c>
    </row>
    <row r="99" spans="1:18" x14ac:dyDescent="0.3">
      <c r="A99" s="3" t="s">
        <v>38</v>
      </c>
      <c r="B99" s="6">
        <v>2.5094102885822186E-3</v>
      </c>
      <c r="C99" s="6">
        <v>1.2088650100738636E-2</v>
      </c>
      <c r="D99" s="6">
        <v>5.6109725685785893E-3</v>
      </c>
    </row>
    <row r="100" spans="1:18" ht="15.6" x14ac:dyDescent="0.3">
      <c r="A100" s="3" t="s">
        <v>39</v>
      </c>
      <c r="B100" s="6">
        <v>5.6320400500624356E-3</v>
      </c>
      <c r="C100" s="6">
        <v>1.5925680159256841E-2</v>
      </c>
      <c r="D100" s="6">
        <v>7.439553626782322E-3</v>
      </c>
      <c r="Q100" s="10"/>
      <c r="R100" s="12"/>
    </row>
    <row r="101" spans="1:18" x14ac:dyDescent="0.3">
      <c r="A101" s="3" t="s">
        <v>40</v>
      </c>
      <c r="B101" s="6">
        <v>1.1823273179838244E-2</v>
      </c>
      <c r="C101" s="6">
        <v>5.8785107772697954E-3</v>
      </c>
      <c r="D101" s="6">
        <v>4.3076923076922381E-3</v>
      </c>
    </row>
    <row r="102" spans="1:18" x14ac:dyDescent="0.3">
      <c r="A102" s="3" t="s">
        <v>41</v>
      </c>
      <c r="B102" s="6">
        <v>0</v>
      </c>
      <c r="C102" s="6">
        <v>0</v>
      </c>
      <c r="D102" s="6">
        <v>0</v>
      </c>
    </row>
    <row r="103" spans="1:18" ht="15.6" x14ac:dyDescent="0.3">
      <c r="A103" s="3" t="s">
        <v>42</v>
      </c>
      <c r="B103" s="6">
        <v>9.8400984009839754E-3</v>
      </c>
      <c r="C103" s="6">
        <v>1.1038961038960965E-2</v>
      </c>
      <c r="D103" s="6">
        <v>1.4093137254902032E-2</v>
      </c>
      <c r="R103" s="12"/>
    </row>
    <row r="104" spans="1:18" ht="15.6" x14ac:dyDescent="0.3">
      <c r="A104" s="3" t="s">
        <v>43</v>
      </c>
      <c r="B104" s="6">
        <v>-1.8270401948841837E-3</v>
      </c>
      <c r="C104" s="6">
        <v>-5.7803468208091026E-3</v>
      </c>
      <c r="D104" s="6">
        <v>7.2507552870089949E-3</v>
      </c>
      <c r="R104" s="12"/>
    </row>
    <row r="105" spans="1:18" ht="15.6" x14ac:dyDescent="0.3">
      <c r="A105" s="3" t="s">
        <v>44</v>
      </c>
      <c r="B105" s="6">
        <v>1.2202562538132314E-3</v>
      </c>
      <c r="C105" s="6">
        <v>5.8139534883719455E-3</v>
      </c>
      <c r="D105" s="6">
        <v>-2.999400119976005E-3</v>
      </c>
      <c r="R105" s="12"/>
    </row>
    <row r="106" spans="1:18" ht="15.6" x14ac:dyDescent="0.3">
      <c r="A106" s="2">
        <v>2022</v>
      </c>
      <c r="B106" s="6"/>
      <c r="C106" s="6"/>
      <c r="D106" s="6"/>
      <c r="R106" s="12"/>
    </row>
    <row r="107" spans="1:18" x14ac:dyDescent="0.3">
      <c r="A107" s="3" t="s">
        <v>30</v>
      </c>
      <c r="B107" s="6"/>
      <c r="C107" s="6"/>
      <c r="D107" s="6"/>
    </row>
    <row r="108" spans="1:18" x14ac:dyDescent="0.3">
      <c r="A108" s="3" t="s">
        <v>34</v>
      </c>
      <c r="B108" s="6">
        <v>9.1352009744214372E-3</v>
      </c>
      <c r="C108" s="6">
        <v>2.5559105431310269E-3</v>
      </c>
      <c r="D108" s="6">
        <v>2.4140012070006378E-3</v>
      </c>
    </row>
    <row r="109" spans="1:18" x14ac:dyDescent="0.3">
      <c r="A109" s="3" t="s">
        <v>35</v>
      </c>
      <c r="B109" s="6">
        <v>9.0525045262522634E-3</v>
      </c>
      <c r="C109" s="6">
        <v>6.3734862970044612E-3</v>
      </c>
      <c r="D109" s="6">
        <v>9.6327513546056245E-3</v>
      </c>
    </row>
    <row r="110" spans="1:18" x14ac:dyDescent="0.3">
      <c r="A110" s="3" t="s">
        <v>36</v>
      </c>
      <c r="B110" s="6">
        <v>2.9904306220095697E-2</v>
      </c>
      <c r="C110" s="6">
        <v>2.9765674477517344E-2</v>
      </c>
      <c r="D110" s="6">
        <v>1.4311270125223648E-2</v>
      </c>
    </row>
    <row r="111" spans="1:18" x14ac:dyDescent="0.3">
      <c r="A111" s="3" t="s">
        <v>37</v>
      </c>
      <c r="B111" s="6">
        <v>1.3937282229965191E-2</v>
      </c>
      <c r="C111" s="6">
        <v>2.4600246002460377E-3</v>
      </c>
      <c r="D111" s="6">
        <v>9.4062316284538178E-3</v>
      </c>
    </row>
    <row r="112" spans="1:18" x14ac:dyDescent="0.3">
      <c r="A112" s="3" t="s">
        <v>38</v>
      </c>
      <c r="B112" s="6">
        <v>8.0183276059565042E-3</v>
      </c>
      <c r="C112" s="6">
        <v>-1.1656441717791446E-2</v>
      </c>
      <c r="D112" s="6">
        <v>5.2417006406523343E-3</v>
      </c>
    </row>
    <row r="113" spans="1:7" x14ac:dyDescent="0.3">
      <c r="A113" s="3" t="s">
        <v>39</v>
      </c>
      <c r="B113" s="6">
        <v>2.0454545454545423E-2</v>
      </c>
      <c r="C113" s="6">
        <v>3.1036623215394167E-3</v>
      </c>
      <c r="D113" s="6">
        <v>4.634994206257308E-3</v>
      </c>
    </row>
    <row r="114" spans="1:7" x14ac:dyDescent="0.3">
      <c r="A114" s="3" t="s">
        <v>40</v>
      </c>
      <c r="B114" s="6">
        <v>-4.4543429844097048E-3</v>
      </c>
      <c r="C114" s="6">
        <v>1.8564356435644268E-3</v>
      </c>
      <c r="D114" s="6">
        <v>5.1903114186851538E-3</v>
      </c>
    </row>
    <row r="115" spans="1:7" x14ac:dyDescent="0.3">
      <c r="A115" s="3" t="s">
        <v>41</v>
      </c>
      <c r="B115" s="6">
        <v>3.9149888143176093E-3</v>
      </c>
      <c r="C115" s="6">
        <v>2.470660901791264E-3</v>
      </c>
      <c r="D115" s="6">
        <v>5.737234652897303E-3</v>
      </c>
    </row>
    <row r="116" spans="1:7" x14ac:dyDescent="0.3">
      <c r="A116" s="3" t="s">
        <v>42</v>
      </c>
      <c r="B116" s="6">
        <v>5.5710306406685237E-3</v>
      </c>
      <c r="C116" s="6">
        <v>3.6968576709796321E-3</v>
      </c>
      <c r="D116" s="6">
        <v>7.9863091842554308E-3</v>
      </c>
    </row>
    <row r="117" spans="1:7" x14ac:dyDescent="0.3">
      <c r="A117" s="3" t="s">
        <v>43</v>
      </c>
      <c r="B117" s="6">
        <v>4.4321329639889825E-3</v>
      </c>
      <c r="C117" s="6">
        <v>6.1387354205030267E-4</v>
      </c>
      <c r="D117" s="6">
        <v>-1.1318619128465684E-3</v>
      </c>
    </row>
    <row r="118" spans="1:7" x14ac:dyDescent="0.3">
      <c r="A118" s="3" t="s">
        <v>44</v>
      </c>
      <c r="B118" s="6">
        <v>3.8610038610037982E-3</v>
      </c>
      <c r="C118" s="6">
        <v>2.4539877300613845E-3</v>
      </c>
      <c r="D118" s="6">
        <v>-4.5325779036827843E-3</v>
      </c>
    </row>
    <row r="119" spans="1:7" x14ac:dyDescent="0.3">
      <c r="A119" s="2">
        <v>2023</v>
      </c>
      <c r="B119" s="6"/>
      <c r="C119" s="6"/>
      <c r="D119" s="6"/>
    </row>
    <row r="120" spans="1:7" x14ac:dyDescent="0.3">
      <c r="A120" s="3" t="s">
        <v>30</v>
      </c>
      <c r="B120" s="6"/>
      <c r="C120" s="6"/>
      <c r="D120" s="6"/>
    </row>
    <row r="121" spans="1:7" x14ac:dyDescent="0.3">
      <c r="A121" s="3" t="s">
        <v>34</v>
      </c>
      <c r="B121" s="6">
        <v>5.4945054945051823E-4</v>
      </c>
      <c r="C121" s="6">
        <v>3.6674816625916523E-3</v>
      </c>
      <c r="D121" s="6">
        <v>3.9660056657223148E-3</v>
      </c>
    </row>
    <row r="122" spans="1:7" x14ac:dyDescent="0.3">
      <c r="A122" s="3" t="s">
        <v>35</v>
      </c>
      <c r="B122" s="6">
        <v>-1.0982976386600144E-3</v>
      </c>
      <c r="C122" s="6">
        <v>0</v>
      </c>
      <c r="D122" s="6">
        <v>0</v>
      </c>
    </row>
    <row r="123" spans="1:7" x14ac:dyDescent="0.3">
      <c r="A123" s="3" t="s">
        <v>36</v>
      </c>
      <c r="B123" s="6">
        <v>-1.0995052226499013E-3</v>
      </c>
      <c r="C123" s="6">
        <v>1.8270401948843567E-3</v>
      </c>
      <c r="D123" s="6">
        <v>5.0790067720090613E-3</v>
      </c>
    </row>
    <row r="124" spans="1:7" x14ac:dyDescent="0.3">
      <c r="A124" s="3" t="s">
        <v>37</v>
      </c>
      <c r="B124" s="6">
        <v>6.0539350577876877E-3</v>
      </c>
      <c r="C124" s="6">
        <v>1.8237082066869992E-3</v>
      </c>
      <c r="D124" s="6">
        <v>5.614823133071308E-3</v>
      </c>
    </row>
    <row r="126" spans="1:7" ht="15.6" x14ac:dyDescent="0.3">
      <c r="A126" s="10" t="s">
        <v>54</v>
      </c>
      <c r="B126" s="12" t="s">
        <v>61</v>
      </c>
    </row>
    <row r="128" spans="1:7" ht="15.6" x14ac:dyDescent="0.3">
      <c r="B128" s="29" t="s">
        <v>115</v>
      </c>
      <c r="C128" s="29"/>
      <c r="D128" s="29"/>
      <c r="E128" s="29"/>
      <c r="F128" s="29"/>
      <c r="G128" s="29"/>
    </row>
    <row r="129" spans="1:15" ht="15.6" x14ac:dyDescent="0.3">
      <c r="B129" s="23" t="s">
        <v>121</v>
      </c>
      <c r="C129" s="29"/>
      <c r="D129" s="29"/>
      <c r="E129" s="29"/>
      <c r="F129" s="29"/>
      <c r="G129" s="29"/>
    </row>
    <row r="130" spans="1:15" ht="15.6" x14ac:dyDescent="0.3">
      <c r="B130" s="23" t="s">
        <v>126</v>
      </c>
      <c r="C130" s="29"/>
      <c r="D130" s="29"/>
      <c r="E130" s="29"/>
      <c r="F130" s="29"/>
      <c r="G130" s="29"/>
    </row>
    <row r="131" spans="1:15" ht="15.6" x14ac:dyDescent="0.3">
      <c r="B131" s="23" t="s">
        <v>122</v>
      </c>
      <c r="C131" s="29"/>
      <c r="D131" s="29"/>
      <c r="E131" s="29"/>
      <c r="F131" s="29"/>
      <c r="G131" s="29"/>
    </row>
    <row r="132" spans="1:15" ht="15.6" x14ac:dyDescent="0.3">
      <c r="B132" s="23" t="s">
        <v>64</v>
      </c>
      <c r="C132" s="29"/>
      <c r="D132" s="29"/>
      <c r="E132" s="29"/>
      <c r="F132" s="29"/>
      <c r="G132" s="29"/>
    </row>
    <row r="135" spans="1:15" x14ac:dyDescent="0.3">
      <c r="A135" s="1" t="s">
        <v>45</v>
      </c>
      <c r="B135" t="s" vm="1">
        <v>29</v>
      </c>
      <c r="I135" s="1" t="s">
        <v>45</v>
      </c>
      <c r="J135" t="s" vm="2">
        <v>32</v>
      </c>
    </row>
    <row r="137" spans="1:15" x14ac:dyDescent="0.3">
      <c r="A137" s="1" t="s">
        <v>46</v>
      </c>
      <c r="B137" t="s">
        <v>48</v>
      </c>
      <c r="C137" t="s">
        <v>49</v>
      </c>
      <c r="D137" t="s">
        <v>50</v>
      </c>
      <c r="E137" t="s">
        <v>51</v>
      </c>
      <c r="F137" t="s">
        <v>62</v>
      </c>
      <c r="G137" t="s">
        <v>52</v>
      </c>
      <c r="I137" s="1" t="s">
        <v>46</v>
      </c>
      <c r="J137" t="s">
        <v>48</v>
      </c>
      <c r="K137" t="s">
        <v>49</v>
      </c>
      <c r="L137" t="s">
        <v>50</v>
      </c>
      <c r="M137" t="s">
        <v>51</v>
      </c>
      <c r="N137" t="s">
        <v>62</v>
      </c>
      <c r="O137" t="s">
        <v>52</v>
      </c>
    </row>
    <row r="138" spans="1:15" x14ac:dyDescent="0.3">
      <c r="A138" s="2">
        <v>2021</v>
      </c>
      <c r="B138" s="6"/>
      <c r="C138" s="6"/>
      <c r="D138" s="6"/>
      <c r="E138" s="6"/>
      <c r="F138" s="6"/>
      <c r="G138" s="6"/>
      <c r="I138" s="2">
        <v>2021</v>
      </c>
      <c r="J138" s="6"/>
      <c r="K138" s="6"/>
      <c r="L138" s="6"/>
      <c r="M138" s="6"/>
      <c r="N138" s="6"/>
      <c r="O138" s="6"/>
    </row>
    <row r="139" spans="1:15" x14ac:dyDescent="0.3">
      <c r="A139" s="3" t="s">
        <v>30</v>
      </c>
      <c r="B139" s="6"/>
      <c r="C139" s="6"/>
      <c r="D139" s="6"/>
      <c r="E139" s="6"/>
      <c r="F139" s="6"/>
      <c r="G139" s="6"/>
      <c r="I139" s="3" t="s">
        <v>30</v>
      </c>
      <c r="J139" s="6"/>
      <c r="K139" s="6"/>
      <c r="L139" s="6"/>
      <c r="M139" s="6"/>
      <c r="N139" s="6"/>
      <c r="O139" s="6"/>
    </row>
    <row r="140" spans="1:15" x14ac:dyDescent="0.3">
      <c r="A140" s="3" t="s">
        <v>34</v>
      </c>
      <c r="B140" s="6">
        <v>-3.0701754385964949E-2</v>
      </c>
      <c r="C140" s="6">
        <v>1.029252437703145E-2</v>
      </c>
      <c r="D140" s="6">
        <v>1.0204081632653024E-2</v>
      </c>
      <c r="E140" s="6">
        <v>2.3194168323392973E-2</v>
      </c>
      <c r="F140" s="6">
        <v>1.8305084745762635E-2</v>
      </c>
      <c r="G140" s="6">
        <v>8.3386786401538349E-3</v>
      </c>
      <c r="I140" s="3" t="s">
        <v>34</v>
      </c>
      <c r="J140" s="6">
        <v>-1.5911872705018325E-2</v>
      </c>
      <c r="K140" s="6">
        <v>7.8206465067778928E-3</v>
      </c>
      <c r="L140" s="6">
        <v>1.0652463382157275E-2</v>
      </c>
      <c r="M140" s="6">
        <v>4.3386983904828473E-2</v>
      </c>
      <c r="N140" s="6">
        <v>2.6296566837107335E-2</v>
      </c>
      <c r="O140" s="6">
        <v>1.1517615176151878E-2</v>
      </c>
    </row>
    <row r="141" spans="1:15" x14ac:dyDescent="0.3">
      <c r="A141" s="3" t="s">
        <v>35</v>
      </c>
      <c r="B141" s="6">
        <v>-1.2928248222365136E-3</v>
      </c>
      <c r="C141" s="6">
        <v>-2.1447721179624971E-3</v>
      </c>
      <c r="D141" s="6">
        <v>3.1565656565656565E-3</v>
      </c>
      <c r="E141" s="6">
        <v>1.0362694300518097E-2</v>
      </c>
      <c r="F141" s="6">
        <v>7.3235685752331744E-3</v>
      </c>
      <c r="G141" s="6">
        <v>6.3613231552177318E-4</v>
      </c>
      <c r="I141" s="3" t="s">
        <v>35</v>
      </c>
      <c r="J141" s="6">
        <v>-2.4875621890547614E-3</v>
      </c>
      <c r="K141" s="6">
        <v>1.034661148473816E-3</v>
      </c>
      <c r="L141" s="6">
        <v>5.2700922266138532E-3</v>
      </c>
      <c r="M141" s="6">
        <v>3.822937625754539E-2</v>
      </c>
      <c r="N141" s="6">
        <v>8.5409252669038337E-3</v>
      </c>
      <c r="O141" s="6">
        <v>4.6885465505692473E-3</v>
      </c>
    </row>
    <row r="142" spans="1:15" x14ac:dyDescent="0.3">
      <c r="A142" s="3" t="s">
        <v>36</v>
      </c>
      <c r="B142" s="6">
        <v>7.1197411003235877E-3</v>
      </c>
      <c r="C142" s="6">
        <v>3.7614185921548472E-3</v>
      </c>
      <c r="D142" s="6">
        <v>6.2932662051604776E-3</v>
      </c>
      <c r="E142" s="6">
        <v>0</v>
      </c>
      <c r="F142" s="6">
        <v>2.6437541308656789E-3</v>
      </c>
      <c r="G142" s="6">
        <v>4.4500953591861958E-3</v>
      </c>
      <c r="I142" s="3" t="s">
        <v>36</v>
      </c>
      <c r="J142" s="6">
        <v>9.9750623441396159E-3</v>
      </c>
      <c r="K142" s="6">
        <v>4.6511627906977038E-3</v>
      </c>
      <c r="L142" s="6">
        <v>5.242463958060363E-3</v>
      </c>
      <c r="M142" s="6">
        <v>6.4599483204130694E-4</v>
      </c>
      <c r="N142" s="6">
        <v>2.8228652081863496E-3</v>
      </c>
      <c r="O142" s="6">
        <v>3.3333333333333335E-3</v>
      </c>
    </row>
    <row r="143" spans="1:15" x14ac:dyDescent="0.3">
      <c r="A143" s="3" t="s">
        <v>37</v>
      </c>
      <c r="B143" s="6">
        <v>1.9922879177377856E-2</v>
      </c>
      <c r="C143" s="6">
        <v>1.4989293361884277E-2</v>
      </c>
      <c r="D143" s="6">
        <v>2.8767979987492146E-2</v>
      </c>
      <c r="E143" s="6">
        <v>3.6538461538461464E-2</v>
      </c>
      <c r="F143" s="6">
        <v>9.8879367172050106E-3</v>
      </c>
      <c r="G143" s="6">
        <v>1.9620253164556924E-2</v>
      </c>
      <c r="I143" s="3" t="s">
        <v>37</v>
      </c>
      <c r="J143" s="6">
        <v>1.3580246913580177E-2</v>
      </c>
      <c r="K143" s="6">
        <v>1.9547325102880569E-2</v>
      </c>
      <c r="L143" s="6">
        <v>4.5632333767926248E-3</v>
      </c>
      <c r="M143" s="6">
        <v>3.8734667527436689E-3</v>
      </c>
      <c r="N143" s="6">
        <v>2.0408163265306162E-2</v>
      </c>
      <c r="O143" s="6">
        <v>1.1960132890365524E-2</v>
      </c>
    </row>
    <row r="144" spans="1:15" x14ac:dyDescent="0.3">
      <c r="A144" s="3" t="s">
        <v>38</v>
      </c>
      <c r="B144" s="6">
        <v>1.1342155009451868E-2</v>
      </c>
      <c r="C144" s="6">
        <v>-2.6371308016877636E-3</v>
      </c>
      <c r="D144" s="6">
        <v>6.0790273556227549E-4</v>
      </c>
      <c r="E144" s="6">
        <v>2.4737167594310805E-3</v>
      </c>
      <c r="F144" s="6">
        <v>6.5274151436031337E-3</v>
      </c>
      <c r="G144" s="6">
        <v>2.4829298572315688E-3</v>
      </c>
      <c r="I144" s="3" t="s">
        <v>38</v>
      </c>
      <c r="J144" s="6">
        <v>1.2180267965895251E-2</v>
      </c>
      <c r="K144" s="6">
        <v>-1.311806256306758E-2</v>
      </c>
      <c r="L144" s="6">
        <v>4.5425048669696108E-3</v>
      </c>
      <c r="M144" s="6">
        <v>3.8585209003215068E-3</v>
      </c>
      <c r="N144" s="6">
        <v>1.7241379310344827E-2</v>
      </c>
      <c r="O144" s="6">
        <v>7.2225869993433637E-3</v>
      </c>
    </row>
    <row r="145" spans="1:15" x14ac:dyDescent="0.3">
      <c r="A145" s="3" t="s">
        <v>39</v>
      </c>
      <c r="B145" s="6">
        <v>7.4766355140186208E-3</v>
      </c>
      <c r="C145" s="6">
        <v>3.1729243786356126E-3</v>
      </c>
      <c r="D145" s="6">
        <v>4.2527339003646239E-3</v>
      </c>
      <c r="E145" s="6">
        <v>2.4676125848242178E-3</v>
      </c>
      <c r="F145" s="6">
        <v>1.8806744487678377E-2</v>
      </c>
      <c r="G145" s="6">
        <v>8.049535603715241E-3</v>
      </c>
      <c r="I145" s="3" t="s">
        <v>39</v>
      </c>
      <c r="J145" s="6">
        <v>1.0228640192539213E-2</v>
      </c>
      <c r="K145" s="6">
        <v>-5.1124744376275218E-4</v>
      </c>
      <c r="L145" s="6">
        <v>4.5219638242893316E-3</v>
      </c>
      <c r="M145" s="6">
        <v>1.0249839846252367E-2</v>
      </c>
      <c r="N145" s="6">
        <v>1.3559322033898305E-2</v>
      </c>
      <c r="O145" s="6">
        <v>1.0430247718383275E-2</v>
      </c>
    </row>
    <row r="146" spans="1:15" x14ac:dyDescent="0.3">
      <c r="A146" s="3" t="s">
        <v>40</v>
      </c>
      <c r="B146" s="6">
        <v>6.1842918985790195E-4</v>
      </c>
      <c r="C146" s="6">
        <v>2.635740643120717E-3</v>
      </c>
      <c r="D146" s="6">
        <v>6.0496067755595878E-3</v>
      </c>
      <c r="E146" s="6">
        <v>3.6923076923076575E-3</v>
      </c>
      <c r="F146" s="6">
        <v>3.8192234245703013E-3</v>
      </c>
      <c r="G146" s="6">
        <v>3.0712530712530711E-3</v>
      </c>
      <c r="I146" s="3" t="s">
        <v>40</v>
      </c>
      <c r="J146" s="6">
        <v>-3.573555687909436E-3</v>
      </c>
      <c r="K146" s="6">
        <v>5.1150895140664966E-3</v>
      </c>
      <c r="L146" s="6">
        <v>1.1575562700964704E-2</v>
      </c>
      <c r="M146" s="6">
        <v>1.9023462270133167E-2</v>
      </c>
      <c r="N146" s="6">
        <v>6.020066889632145E-3</v>
      </c>
      <c r="O146" s="6">
        <v>6.4516129032258064E-3</v>
      </c>
    </row>
    <row r="147" spans="1:15" x14ac:dyDescent="0.3">
      <c r="A147" s="3" t="s">
        <v>41</v>
      </c>
      <c r="B147" s="6">
        <v>1.8541409147094124E-3</v>
      </c>
      <c r="C147" s="6">
        <v>1.5772870662461166E-3</v>
      </c>
      <c r="D147" s="6">
        <v>4.8105832832229878E-3</v>
      </c>
      <c r="E147" s="6">
        <v>3.6787247087675923E-3</v>
      </c>
      <c r="F147" s="6">
        <v>6.3411540900458301E-4</v>
      </c>
      <c r="G147" s="6">
        <v>3.0618493570116348E-3</v>
      </c>
      <c r="I147" s="3" t="s">
        <v>41</v>
      </c>
      <c r="J147" s="6">
        <v>0</v>
      </c>
      <c r="K147" s="6">
        <v>0</v>
      </c>
      <c r="L147" s="6">
        <v>6.3572790845514498E-4</v>
      </c>
      <c r="M147" s="6">
        <v>6.2227753578109979E-4</v>
      </c>
      <c r="N147" s="6">
        <v>6.6489361702123874E-4</v>
      </c>
      <c r="O147" s="6">
        <v>0</v>
      </c>
    </row>
    <row r="148" spans="1:15" x14ac:dyDescent="0.3">
      <c r="A148" s="3" t="s">
        <v>42</v>
      </c>
      <c r="B148" s="6">
        <v>2.0974706971005588E-2</v>
      </c>
      <c r="C148" s="6">
        <v>3.6745406824146387E-3</v>
      </c>
      <c r="D148" s="6">
        <v>7.1813285457810721E-3</v>
      </c>
      <c r="E148" s="6">
        <v>1.0995723885155843E-2</v>
      </c>
      <c r="F148" s="6">
        <v>1.0773130544993591E-2</v>
      </c>
      <c r="G148" s="6">
        <v>5.4945054945053553E-3</v>
      </c>
      <c r="I148" s="3" t="s">
        <v>42</v>
      </c>
      <c r="J148" s="6">
        <v>2.5104602510460181E-2</v>
      </c>
      <c r="K148" s="6">
        <v>2.5445292620865142E-3</v>
      </c>
      <c r="L148" s="6">
        <v>5.7179161372300233E-3</v>
      </c>
      <c r="M148" s="6">
        <v>8.7064676616914003E-3</v>
      </c>
      <c r="N148" s="6">
        <v>1.1295681063122847E-2</v>
      </c>
      <c r="O148" s="6">
        <v>6.41025641025641E-3</v>
      </c>
    </row>
    <row r="149" spans="1:15" x14ac:dyDescent="0.3">
      <c r="A149" s="3" t="s">
        <v>43</v>
      </c>
      <c r="B149" s="6">
        <v>1.2084592145015106E-2</v>
      </c>
      <c r="C149" s="6">
        <v>1.0460251046025997E-3</v>
      </c>
      <c r="D149" s="6">
        <v>8.9126559714794995E-3</v>
      </c>
      <c r="E149" s="6">
        <v>-1.2084592145014418E-3</v>
      </c>
      <c r="F149" s="6">
        <v>-3.7617554858933814E-3</v>
      </c>
      <c r="G149" s="6">
        <v>3.0358227079538558E-3</v>
      </c>
      <c r="I149" s="3" t="s">
        <v>43</v>
      </c>
      <c r="J149" s="6">
        <v>1.1661807580174927E-2</v>
      </c>
      <c r="K149" s="6">
        <v>0</v>
      </c>
      <c r="L149" s="6">
        <v>8.84396715097901E-3</v>
      </c>
      <c r="M149" s="6">
        <v>-3.6991368680640837E-3</v>
      </c>
      <c r="N149" s="6">
        <v>-6.5703022339027601E-3</v>
      </c>
      <c r="O149" s="6">
        <v>1.9108280254777794E-3</v>
      </c>
    </row>
    <row r="150" spans="1:15" x14ac:dyDescent="0.3">
      <c r="A150" s="3" t="s">
        <v>44</v>
      </c>
      <c r="B150" s="6">
        <v>-1.0149253731343216E-2</v>
      </c>
      <c r="C150" s="6">
        <v>-3.1347962382444845E-3</v>
      </c>
      <c r="D150" s="6">
        <v>8.2449941107183584E-3</v>
      </c>
      <c r="E150" s="6">
        <v>1.8148820326677733E-3</v>
      </c>
      <c r="F150" s="6">
        <v>7.551919446192502E-3</v>
      </c>
      <c r="G150" s="6">
        <v>4.8426150121066063E-3</v>
      </c>
      <c r="I150" s="3" t="s">
        <v>44</v>
      </c>
      <c r="J150" s="6">
        <v>-7.4927953890490569E-3</v>
      </c>
      <c r="K150" s="6">
        <v>-1.0152284263958815E-3</v>
      </c>
      <c r="L150" s="6">
        <v>6.261740763932374E-3</v>
      </c>
      <c r="M150" s="6">
        <v>6.1881188118808369E-4</v>
      </c>
      <c r="N150" s="6">
        <v>3.968253968254119E-3</v>
      </c>
      <c r="O150" s="6">
        <v>3.1786395422759056E-3</v>
      </c>
    </row>
    <row r="151" spans="1:15" x14ac:dyDescent="0.3">
      <c r="A151" s="2">
        <v>2022</v>
      </c>
      <c r="B151" s="6"/>
      <c r="C151" s="6"/>
      <c r="D151" s="6"/>
      <c r="E151" s="6"/>
      <c r="F151" s="6"/>
      <c r="G151" s="6"/>
      <c r="I151" s="2">
        <v>2022</v>
      </c>
      <c r="J151" s="6"/>
      <c r="K151" s="6"/>
      <c r="L151" s="6"/>
      <c r="M151" s="6"/>
      <c r="N151" s="6"/>
      <c r="O151" s="6"/>
    </row>
    <row r="152" spans="1:15" x14ac:dyDescent="0.3">
      <c r="A152" s="3" t="s">
        <v>30</v>
      </c>
      <c r="B152" s="6"/>
      <c r="C152" s="6"/>
      <c r="D152" s="6"/>
      <c r="E152" s="6"/>
      <c r="F152" s="6"/>
      <c r="G152" s="6"/>
      <c r="I152" s="3" t="s">
        <v>30</v>
      </c>
      <c r="J152" s="6"/>
      <c r="K152" s="6"/>
      <c r="L152" s="6"/>
      <c r="M152" s="6"/>
      <c r="N152" s="6"/>
      <c r="O152" s="6"/>
    </row>
    <row r="153" spans="1:15" x14ac:dyDescent="0.3">
      <c r="A153" s="3" t="s">
        <v>34</v>
      </c>
      <c r="B153" s="6">
        <v>-1.2187690432662317E-3</v>
      </c>
      <c r="C153" s="6">
        <v>4.1950707918196719E-3</v>
      </c>
      <c r="D153" s="6">
        <v>5.7903879559930522E-3</v>
      </c>
      <c r="E153" s="6">
        <v>9.6501809408926064E-3</v>
      </c>
      <c r="F153" s="6">
        <v>2.4875621890545849E-3</v>
      </c>
      <c r="G153" s="6">
        <v>4.2016806722690097E-3</v>
      </c>
      <c r="I153" s="3" t="s">
        <v>34</v>
      </c>
      <c r="J153" s="6">
        <v>-5.8719906048163668E-4</v>
      </c>
      <c r="K153" s="6">
        <v>5.0916496945007284E-4</v>
      </c>
      <c r="L153" s="6">
        <v>7.3982737361283427E-3</v>
      </c>
      <c r="M153" s="6">
        <v>8.6633663366336988E-3</v>
      </c>
      <c r="N153" s="6">
        <v>2.6195153896529516E-3</v>
      </c>
      <c r="O153" s="6">
        <v>5.0441361916772473E-3</v>
      </c>
    </row>
    <row r="154" spans="1:15" x14ac:dyDescent="0.3">
      <c r="A154" s="3" t="s">
        <v>35</v>
      </c>
      <c r="B154" s="6">
        <v>1.647345942647949E-2</v>
      </c>
      <c r="C154" s="6">
        <v>4.177545691906065E-3</v>
      </c>
      <c r="D154" s="6">
        <v>8.0598733448474721E-3</v>
      </c>
      <c r="E154" s="6">
        <v>8.9605734767025085E-3</v>
      </c>
      <c r="F154" s="6">
        <v>4.9627791563276145E-3</v>
      </c>
      <c r="G154" s="6">
        <v>5.977286312014345E-3</v>
      </c>
      <c r="I154" s="3" t="s">
        <v>35</v>
      </c>
      <c r="J154" s="6">
        <v>7.6380728554642273E-3</v>
      </c>
      <c r="K154" s="6">
        <v>5.0890585241730284E-3</v>
      </c>
      <c r="L154" s="6">
        <v>9.1799265605875154E-3</v>
      </c>
      <c r="M154" s="6">
        <v>9.202453987730062E-3</v>
      </c>
      <c r="N154" s="6">
        <v>7.1848465055518902E-3</v>
      </c>
      <c r="O154" s="6">
        <v>7.5282308657464783E-3</v>
      </c>
    </row>
    <row r="155" spans="1:15" x14ac:dyDescent="0.3">
      <c r="A155" s="3" t="s">
        <v>36</v>
      </c>
      <c r="B155" s="6">
        <v>1.2004801920768308E-2</v>
      </c>
      <c r="C155" s="6">
        <v>2.6001040041601664E-3</v>
      </c>
      <c r="D155" s="6">
        <v>1.1422044545973729E-2</v>
      </c>
      <c r="E155" s="6">
        <v>2.6050917702782745E-2</v>
      </c>
      <c r="F155" s="6">
        <v>2.5925925925925856E-2</v>
      </c>
      <c r="G155" s="6">
        <v>1.1289364230540565E-2</v>
      </c>
      <c r="I155" s="3" t="s">
        <v>36</v>
      </c>
      <c r="J155" s="6">
        <v>1.7492711370262391E-2</v>
      </c>
      <c r="K155" s="6">
        <v>-2.0253164556962313E-3</v>
      </c>
      <c r="L155" s="6">
        <v>8.4899939357186514E-3</v>
      </c>
      <c r="M155" s="6">
        <v>3.64741641337386E-2</v>
      </c>
      <c r="N155" s="6">
        <v>3.3073929961089647E-2</v>
      </c>
      <c r="O155" s="6">
        <v>1.5566625155666251E-2</v>
      </c>
    </row>
    <row r="156" spans="1:15" x14ac:dyDescent="0.3">
      <c r="A156" s="3" t="s">
        <v>37</v>
      </c>
      <c r="B156" s="6">
        <v>1.3048635824436638E-2</v>
      </c>
      <c r="C156" s="6">
        <v>5.1867219917009499E-4</v>
      </c>
      <c r="D156" s="6">
        <v>1.0728402032749891E-2</v>
      </c>
      <c r="E156" s="6">
        <v>1.1540680900173109E-2</v>
      </c>
      <c r="F156" s="6">
        <v>5.4151624548736807E-3</v>
      </c>
      <c r="G156" s="6">
        <v>4.1128084606346484E-3</v>
      </c>
      <c r="I156" s="3" t="s">
        <v>37</v>
      </c>
      <c r="J156" s="6">
        <v>1.7191977077363897E-2</v>
      </c>
      <c r="K156" s="6">
        <v>2.0294266869609625E-3</v>
      </c>
      <c r="L156" s="6">
        <v>9.019843656043294E-3</v>
      </c>
      <c r="M156" s="6">
        <v>1.7595307917888565E-2</v>
      </c>
      <c r="N156" s="6">
        <v>6.2774639045821913E-4</v>
      </c>
      <c r="O156" s="6">
        <v>4.2918454935623367E-3</v>
      </c>
    </row>
    <row r="157" spans="1:15" x14ac:dyDescent="0.3">
      <c r="A157" s="3" t="s">
        <v>38</v>
      </c>
      <c r="B157" s="6">
        <v>9.3676814988290051E-3</v>
      </c>
      <c r="C157" s="6">
        <v>0</v>
      </c>
      <c r="D157" s="6">
        <v>7.8212290502793613E-3</v>
      </c>
      <c r="E157" s="6">
        <v>7.9863091842554308E-3</v>
      </c>
      <c r="F157" s="6">
        <v>-9.5751047277079261E-3</v>
      </c>
      <c r="G157" s="6">
        <v>5.8513750731418557E-4</v>
      </c>
      <c r="I157" s="3" t="s">
        <v>38</v>
      </c>
      <c r="J157" s="6">
        <v>1.0140845070422599E-2</v>
      </c>
      <c r="K157" s="6">
        <v>4.0506329113924626E-3</v>
      </c>
      <c r="L157" s="6">
        <v>9.5351609058402509E-3</v>
      </c>
      <c r="M157" s="6">
        <v>8.0691642651297153E-3</v>
      </c>
      <c r="N157" s="6">
        <v>-1.3801756587202113E-2</v>
      </c>
      <c r="O157" s="6">
        <v>0</v>
      </c>
    </row>
    <row r="158" spans="1:15" x14ac:dyDescent="0.3">
      <c r="A158" s="3" t="s">
        <v>39</v>
      </c>
      <c r="B158" s="6">
        <v>5.80046403712264E-4</v>
      </c>
      <c r="C158" s="6">
        <v>1.5552099533436129E-3</v>
      </c>
      <c r="D158" s="6">
        <v>7.2062084257205261E-3</v>
      </c>
      <c r="E158" s="6">
        <v>1.6411997736276208E-2</v>
      </c>
      <c r="F158" s="6">
        <v>4.8338368580061108E-3</v>
      </c>
      <c r="G158" s="6">
        <v>4.6783625730994821E-3</v>
      </c>
      <c r="I158" s="3" t="s">
        <v>39</v>
      </c>
      <c r="J158" s="6">
        <v>5.5772448410482047E-4</v>
      </c>
      <c r="K158" s="6">
        <v>1.5128593040846341E-3</v>
      </c>
      <c r="L158" s="6">
        <v>7.0838252656433799E-3</v>
      </c>
      <c r="M158" s="6">
        <v>2.6300743281875323E-2</v>
      </c>
      <c r="N158" s="6">
        <v>1.2722646310433655E-3</v>
      </c>
      <c r="O158" s="6">
        <v>5.4945054945053553E-3</v>
      </c>
    </row>
    <row r="159" spans="1:15" x14ac:dyDescent="0.3">
      <c r="A159" s="3" t="s">
        <v>40</v>
      </c>
      <c r="B159" s="6">
        <v>8.1159420289855407E-3</v>
      </c>
      <c r="C159" s="6">
        <v>2.587991718426501E-3</v>
      </c>
      <c r="D159" s="6">
        <v>7.1546505228399088E-3</v>
      </c>
      <c r="E159" s="6">
        <v>-2.7839643652561247E-3</v>
      </c>
      <c r="F159" s="6">
        <v>1.8039687312085564E-3</v>
      </c>
      <c r="G159" s="6">
        <v>4.6565774155994345E-3</v>
      </c>
      <c r="I159" s="3" t="s">
        <v>40</v>
      </c>
      <c r="J159" s="6">
        <v>5.5741360089186171E-3</v>
      </c>
      <c r="K159" s="6">
        <v>5.0352467270893412E-4</v>
      </c>
      <c r="L159" s="6">
        <v>5.8616647127784291E-3</v>
      </c>
      <c r="M159" s="6">
        <v>-6.1281337047353448E-3</v>
      </c>
      <c r="N159" s="6">
        <v>1.9059720457432208E-3</v>
      </c>
      <c r="O159" s="6">
        <v>4.2501517911355015E-3</v>
      </c>
    </row>
    <row r="160" spans="1:15" x14ac:dyDescent="0.3">
      <c r="A160" s="3" t="s">
        <v>41</v>
      </c>
      <c r="B160" s="6">
        <v>9.2006900517538487E-3</v>
      </c>
      <c r="C160" s="6">
        <v>4.1300980898296927E-3</v>
      </c>
      <c r="D160" s="6">
        <v>8.1967213114754103E-3</v>
      </c>
      <c r="E160" s="6">
        <v>3.3500837520937707E-3</v>
      </c>
      <c r="F160" s="6">
        <v>1.8007202881153144E-3</v>
      </c>
      <c r="G160" s="6">
        <v>2.8968713789107765E-3</v>
      </c>
      <c r="I160" s="3" t="s">
        <v>41</v>
      </c>
      <c r="J160" s="6">
        <v>7.7605321507760849E-3</v>
      </c>
      <c r="K160" s="6">
        <v>5.0327126321087065E-3</v>
      </c>
      <c r="L160" s="6">
        <v>8.1585081585081928E-3</v>
      </c>
      <c r="M160" s="6">
        <v>4.4843049327353305E-3</v>
      </c>
      <c r="N160" s="6">
        <v>3.1705770450221942E-3</v>
      </c>
      <c r="O160" s="6">
        <v>4.2321644498185523E-3</v>
      </c>
    </row>
    <row r="161" spans="1:15" x14ac:dyDescent="0.3">
      <c r="A161" s="3" t="s">
        <v>42</v>
      </c>
      <c r="B161" s="6">
        <v>1.0826210826210859E-2</v>
      </c>
      <c r="C161" s="6">
        <v>2.0565552699229085E-3</v>
      </c>
      <c r="D161" s="6">
        <v>7.5880758807588388E-3</v>
      </c>
      <c r="E161" s="6">
        <v>6.1213132999444787E-3</v>
      </c>
      <c r="F161" s="6">
        <v>2.9958058717795086E-3</v>
      </c>
      <c r="G161" s="6">
        <v>4.6216060080878762E-3</v>
      </c>
      <c r="I161" s="3" t="s">
        <v>42</v>
      </c>
      <c r="J161" s="6">
        <v>8.2508250825082501E-3</v>
      </c>
      <c r="K161" s="6">
        <v>2.0030045067601686E-3</v>
      </c>
      <c r="L161" s="6">
        <v>3.4682080924855162E-3</v>
      </c>
      <c r="M161" s="6">
        <v>4.4642857142857782E-3</v>
      </c>
      <c r="N161" s="6">
        <v>3.7926675094818126E-3</v>
      </c>
      <c r="O161" s="6">
        <v>4.2143287176400791E-3</v>
      </c>
    </row>
    <row r="162" spans="1:15" x14ac:dyDescent="0.3">
      <c r="A162" s="3" t="s">
        <v>43</v>
      </c>
      <c r="B162" s="6">
        <v>-4.5095828635851824E-3</v>
      </c>
      <c r="C162" s="6">
        <v>3.0785017957926848E-3</v>
      </c>
      <c r="D162" s="6">
        <v>5.3792361484669175E-3</v>
      </c>
      <c r="E162" s="6">
        <v>6.0840707964601448E-3</v>
      </c>
      <c r="F162" s="6">
        <v>5.9737156511346663E-4</v>
      </c>
      <c r="G162" s="6">
        <v>4.0253018976422576E-3</v>
      </c>
      <c r="I162" s="3" t="s">
        <v>43</v>
      </c>
      <c r="J162" s="6">
        <v>-1.0911074740861974E-2</v>
      </c>
      <c r="K162" s="6">
        <v>2.4987506246876563E-3</v>
      </c>
      <c r="L162" s="6">
        <v>6.3364055299538844E-3</v>
      </c>
      <c r="M162" s="6">
        <v>1.6666666666667299E-3</v>
      </c>
      <c r="N162" s="6">
        <v>6.2972292191432189E-4</v>
      </c>
      <c r="O162" s="6">
        <v>3.5971223021582389E-3</v>
      </c>
    </row>
    <row r="163" spans="1:15" x14ac:dyDescent="0.3">
      <c r="A163" s="3" t="s">
        <v>44</v>
      </c>
      <c r="B163" s="6">
        <v>-1.2457531143827796E-2</v>
      </c>
      <c r="C163" s="6">
        <v>2.0460358056266273E-3</v>
      </c>
      <c r="D163" s="6">
        <v>4.8154093097913624E-3</v>
      </c>
      <c r="E163" s="6">
        <v>4.9477735019241654E-3</v>
      </c>
      <c r="F163" s="6">
        <v>1.7910447761194709E-3</v>
      </c>
      <c r="G163" s="6">
        <v>5.1546391752577648E-3</v>
      </c>
      <c r="I163" s="3" t="s">
        <v>44</v>
      </c>
      <c r="J163" s="6">
        <v>-1.4892443463872128E-2</v>
      </c>
      <c r="K163" s="6">
        <v>2.4925224327018943E-3</v>
      </c>
      <c r="L163" s="6">
        <v>5.7240984544934172E-3</v>
      </c>
      <c r="M163" s="6">
        <v>1.6638935108152131E-3</v>
      </c>
      <c r="N163" s="6">
        <v>3.1466331025802388E-3</v>
      </c>
      <c r="O163" s="6">
        <v>4.778972520907903E-3</v>
      </c>
    </row>
    <row r="164" spans="1:15" x14ac:dyDescent="0.3">
      <c r="A164" s="2">
        <v>2023</v>
      </c>
      <c r="B164" s="6"/>
      <c r="C164" s="6"/>
      <c r="D164" s="6"/>
      <c r="E164" s="6"/>
      <c r="F164" s="6"/>
      <c r="G164" s="6"/>
      <c r="I164" s="2">
        <v>2023</v>
      </c>
      <c r="J164" s="6"/>
      <c r="K164" s="6"/>
      <c r="L164" s="6"/>
      <c r="M164" s="6"/>
      <c r="N164" s="6"/>
      <c r="O164" s="6"/>
    </row>
    <row r="165" spans="1:15" x14ac:dyDescent="0.3">
      <c r="A165" s="3" t="s">
        <v>30</v>
      </c>
      <c r="B165" s="6"/>
      <c r="C165" s="6"/>
      <c r="D165" s="6"/>
      <c r="E165" s="6"/>
      <c r="F165" s="6"/>
      <c r="G165" s="6"/>
      <c r="I165" s="3" t="s">
        <v>30</v>
      </c>
      <c r="J165" s="6"/>
      <c r="K165" s="6"/>
      <c r="L165" s="6"/>
      <c r="M165" s="6"/>
      <c r="N165" s="6"/>
      <c r="O165" s="6"/>
    </row>
    <row r="166" spans="1:15" x14ac:dyDescent="0.3">
      <c r="A166" s="3" t="s">
        <v>34</v>
      </c>
      <c r="B166" s="6">
        <v>-1.1428571428570779E-3</v>
      </c>
      <c r="C166" s="6">
        <v>7.1102082275266917E-3</v>
      </c>
      <c r="D166" s="6">
        <v>5.3022269353128317E-3</v>
      </c>
      <c r="E166" s="6">
        <v>-8.7336244541484417E-3</v>
      </c>
      <c r="F166" s="6">
        <v>4.756242568371055E-3</v>
      </c>
      <c r="G166" s="6">
        <v>7.932011331444791E-3</v>
      </c>
      <c r="I166" s="3" t="s">
        <v>34</v>
      </c>
      <c r="J166" s="6">
        <v>6.6852367688021649E-3</v>
      </c>
      <c r="K166" s="6">
        <v>5.4563492063491783E-3</v>
      </c>
      <c r="L166" s="6">
        <v>9.0600226500565928E-3</v>
      </c>
      <c r="M166" s="6">
        <v>1.4991671293725804E-2</v>
      </c>
      <c r="N166" s="6">
        <v>1.8808777429467798E-3</v>
      </c>
      <c r="O166" s="6">
        <v>6.5127294256956438E-3</v>
      </c>
    </row>
    <row r="167" spans="1:15" x14ac:dyDescent="0.3">
      <c r="A167" s="3" t="s">
        <v>35</v>
      </c>
      <c r="B167" s="6">
        <v>0</v>
      </c>
      <c r="C167" s="6">
        <v>5.0428643469487802E-4</v>
      </c>
      <c r="D167" s="6">
        <v>0</v>
      </c>
      <c r="E167" s="6">
        <v>-1.1013215859030211E-3</v>
      </c>
      <c r="F167" s="6">
        <v>0</v>
      </c>
      <c r="G167" s="6">
        <v>0</v>
      </c>
      <c r="I167" s="3" t="s">
        <v>35</v>
      </c>
      <c r="J167" s="6">
        <v>5.5340343110139867E-4</v>
      </c>
      <c r="K167" s="6">
        <v>0</v>
      </c>
      <c r="L167" s="6">
        <v>0</v>
      </c>
      <c r="M167" s="6">
        <v>-1.0940919037200057E-3</v>
      </c>
      <c r="N167" s="6">
        <v>0</v>
      </c>
      <c r="O167" s="6">
        <v>0</v>
      </c>
    </row>
    <row r="168" spans="1:15" x14ac:dyDescent="0.3">
      <c r="A168" s="3" t="s">
        <v>36</v>
      </c>
      <c r="B168" s="6">
        <v>4.0045766590388367E-3</v>
      </c>
      <c r="C168" s="6">
        <v>5.5443548387096482E-3</v>
      </c>
      <c r="D168" s="6">
        <v>3.1645569620252865E-3</v>
      </c>
      <c r="E168" s="6">
        <v>5.5126791620724541E-4</v>
      </c>
      <c r="F168" s="6">
        <v>2.3668639053254772E-3</v>
      </c>
      <c r="G168" s="6">
        <v>5.6211354693648111E-3</v>
      </c>
      <c r="I168" s="3" t="s">
        <v>36</v>
      </c>
      <c r="J168" s="6">
        <v>7.1902654867255691E-3</v>
      </c>
      <c r="K168" s="6">
        <v>3.9467192895905846E-3</v>
      </c>
      <c r="L168" s="6">
        <v>3.9281705948373572E-3</v>
      </c>
      <c r="M168" s="6">
        <v>-2.7382256297918948E-3</v>
      </c>
      <c r="N168" s="6">
        <v>1.877346683354086E-3</v>
      </c>
      <c r="O168" s="6">
        <v>5.2941176470588571E-3</v>
      </c>
    </row>
    <row r="169" spans="1:15" x14ac:dyDescent="0.3">
      <c r="A169" s="3" t="s">
        <v>37</v>
      </c>
      <c r="B169" s="6">
        <v>7.4074074074074719E-3</v>
      </c>
      <c r="C169" s="6">
        <v>2.0050125313283494E-3</v>
      </c>
      <c r="D169" s="6">
        <v>3.1545741324922332E-3</v>
      </c>
      <c r="E169" s="6">
        <v>5.5096418732782371E-3</v>
      </c>
      <c r="F169" s="6">
        <v>1.7709563164107611E-3</v>
      </c>
      <c r="G169" s="6">
        <v>3.3538289547232771E-3</v>
      </c>
      <c r="I169" s="3" t="s">
        <v>37</v>
      </c>
      <c r="J169" s="6">
        <v>5.4914881933003845E-3</v>
      </c>
      <c r="K169" s="6">
        <v>3.4398034398033838E-3</v>
      </c>
      <c r="L169" s="6">
        <v>2.2358859698155711E-3</v>
      </c>
      <c r="M169" s="6">
        <v>7.1389346512905627E-3</v>
      </c>
      <c r="N169" s="6">
        <v>1.8738288569644683E-3</v>
      </c>
      <c r="O169" s="6">
        <v>4.0959625511994653E-3</v>
      </c>
    </row>
    <row r="171" spans="1:15" ht="15.6" x14ac:dyDescent="0.3">
      <c r="A171" s="12"/>
      <c r="B171" s="12"/>
    </row>
    <row r="172" spans="1:15" ht="18" x14ac:dyDescent="0.35">
      <c r="A172" s="1" t="s">
        <v>45</v>
      </c>
      <c r="B172" t="s" vm="3">
        <v>33</v>
      </c>
      <c r="H172" s="15"/>
      <c r="I172" s="41"/>
      <c r="J172" s="42"/>
      <c r="K172" s="42"/>
      <c r="L172" s="43"/>
    </row>
    <row r="173" spans="1:15" ht="18" x14ac:dyDescent="0.35">
      <c r="H173" s="43"/>
      <c r="I173" s="41"/>
      <c r="J173" s="42"/>
      <c r="K173" s="42"/>
      <c r="L173" s="43"/>
    </row>
    <row r="174" spans="1:15" x14ac:dyDescent="0.3">
      <c r="A174" s="1" t="s">
        <v>46</v>
      </c>
      <c r="B174" t="s">
        <v>48</v>
      </c>
      <c r="C174" t="s">
        <v>49</v>
      </c>
      <c r="D174" t="s">
        <v>50</v>
      </c>
      <c r="E174" t="s">
        <v>51</v>
      </c>
      <c r="F174" t="s">
        <v>62</v>
      </c>
      <c r="G174" t="s">
        <v>52</v>
      </c>
    </row>
    <row r="175" spans="1:15" ht="15.6" x14ac:dyDescent="0.3">
      <c r="A175" s="2">
        <v>2021</v>
      </c>
      <c r="B175" s="6"/>
      <c r="C175" s="6"/>
      <c r="D175" s="6"/>
      <c r="E175" s="6"/>
      <c r="F175" s="6"/>
      <c r="G175" s="6"/>
      <c r="I175" s="12"/>
      <c r="J175" s="39"/>
      <c r="K175" s="40"/>
      <c r="L175" s="40"/>
    </row>
    <row r="176" spans="1:15" ht="18" x14ac:dyDescent="0.35">
      <c r="A176" s="3" t="s">
        <v>30</v>
      </c>
      <c r="B176" s="6"/>
      <c r="C176" s="6"/>
      <c r="D176" s="6"/>
      <c r="E176" s="6"/>
      <c r="F176" s="6"/>
      <c r="G176" s="6"/>
      <c r="I176" s="15" t="s">
        <v>54</v>
      </c>
      <c r="J176" s="41" t="s">
        <v>98</v>
      </c>
      <c r="K176" s="42"/>
      <c r="L176" s="42"/>
      <c r="M176" s="43"/>
    </row>
    <row r="177" spans="1:13" ht="18" x14ac:dyDescent="0.35">
      <c r="A177" s="3" t="s">
        <v>34</v>
      </c>
      <c r="B177" s="6">
        <v>-2.5465838509316736E-2</v>
      </c>
      <c r="C177" s="6">
        <v>9.6514745308311604E-3</v>
      </c>
      <c r="D177" s="6">
        <v>1.0376134889753716E-2</v>
      </c>
      <c r="E177" s="6">
        <v>3.0425963488843813E-2</v>
      </c>
      <c r="F177" s="6">
        <v>2.2551092318534097E-2</v>
      </c>
      <c r="G177" s="6">
        <v>9.8749177090190904E-3</v>
      </c>
      <c r="I177" s="43"/>
      <c r="J177" s="41" t="s">
        <v>81</v>
      </c>
      <c r="K177" s="42"/>
      <c r="L177" s="42"/>
      <c r="M177" s="43"/>
    </row>
    <row r="178" spans="1:13" x14ac:dyDescent="0.3">
      <c r="A178" s="3" t="s">
        <v>35</v>
      </c>
      <c r="B178" s="6">
        <v>-1.2746972594010009E-3</v>
      </c>
      <c r="C178" s="6">
        <v>-1.0621348911312642E-3</v>
      </c>
      <c r="D178" s="6">
        <v>3.8510911424903356E-3</v>
      </c>
      <c r="E178" s="6">
        <v>2.0341207349081326E-2</v>
      </c>
      <c r="F178" s="6">
        <v>7.5809786354238068E-3</v>
      </c>
      <c r="G178" s="6">
        <v>2.6075619295958647E-3</v>
      </c>
    </row>
    <row r="179" spans="1:13" x14ac:dyDescent="0.3">
      <c r="A179" s="3" t="s">
        <v>36</v>
      </c>
      <c r="B179" s="6">
        <v>8.2961072112317253E-3</v>
      </c>
      <c r="C179" s="6">
        <v>3.7214247740564436E-3</v>
      </c>
      <c r="D179" s="6">
        <v>5.7544757033248439E-3</v>
      </c>
      <c r="E179" s="6">
        <v>6.4308681672022071E-4</v>
      </c>
      <c r="F179" s="6">
        <v>2.7359781121751416E-3</v>
      </c>
      <c r="G179" s="6">
        <v>3.9011703511052944E-3</v>
      </c>
    </row>
    <row r="180" spans="1:13" ht="15.6" x14ac:dyDescent="0.3">
      <c r="A180" s="3" t="s">
        <v>37</v>
      </c>
      <c r="B180" s="6">
        <v>1.7088607594936637E-2</v>
      </c>
      <c r="C180" s="6">
        <v>1.6419491525423699E-2</v>
      </c>
      <c r="D180" s="6">
        <v>1.9707565162110578E-2</v>
      </c>
      <c r="E180" s="6">
        <v>2.4421593830334265E-2</v>
      </c>
      <c r="F180" s="6">
        <v>1.568894952251031E-2</v>
      </c>
      <c r="G180" s="6">
        <v>1.5544041450777238E-2</v>
      </c>
      <c r="J180" s="12"/>
      <c r="K180" s="39"/>
      <c r="L180" s="40"/>
      <c r="M180" s="40"/>
    </row>
    <row r="181" spans="1:13" ht="15.6" x14ac:dyDescent="0.3">
      <c r="A181" s="3" t="s">
        <v>38</v>
      </c>
      <c r="B181" s="6">
        <v>1.1823273179838244E-2</v>
      </c>
      <c r="C181" s="6">
        <v>-5.7321521625846496E-3</v>
      </c>
      <c r="D181" s="6">
        <v>1.8703241895260782E-3</v>
      </c>
      <c r="E181" s="6">
        <v>2.5094102885822186E-3</v>
      </c>
      <c r="F181" s="6">
        <v>1.2088650100738636E-2</v>
      </c>
      <c r="G181" s="6">
        <v>5.1020408163264218E-3</v>
      </c>
      <c r="K181" s="39"/>
      <c r="L181" s="40"/>
      <c r="M181" s="40"/>
    </row>
    <row r="182" spans="1:13" x14ac:dyDescent="0.3">
      <c r="A182" s="3" t="s">
        <v>39</v>
      </c>
      <c r="B182" s="6">
        <v>8.6100861008610446E-3</v>
      </c>
      <c r="C182" s="6">
        <v>2.0964360587000905E-3</v>
      </c>
      <c r="D182" s="6">
        <v>4.3559427504668144E-3</v>
      </c>
      <c r="E182" s="6">
        <v>5.6320400500624356E-3</v>
      </c>
      <c r="F182" s="6">
        <v>1.5925680159256841E-2</v>
      </c>
      <c r="G182" s="6">
        <v>8.883248730964504E-3</v>
      </c>
    </row>
    <row r="183" spans="1:13" x14ac:dyDescent="0.3">
      <c r="A183" s="3" t="s">
        <v>40</v>
      </c>
      <c r="B183" s="6">
        <v>0</v>
      </c>
      <c r="C183" s="6">
        <v>4.7071129707113267E-3</v>
      </c>
      <c r="D183" s="6">
        <v>1.1152416356877217E-2</v>
      </c>
      <c r="E183" s="6">
        <v>1.1823273179838244E-2</v>
      </c>
      <c r="F183" s="6">
        <v>5.8785107772697954E-3</v>
      </c>
      <c r="G183" s="6">
        <v>6.2893081761006293E-3</v>
      </c>
    </row>
    <row r="184" spans="1:13" x14ac:dyDescent="0.3">
      <c r="A184" s="3" t="s">
        <v>41</v>
      </c>
      <c r="B184" s="6">
        <v>0</v>
      </c>
      <c r="C184" s="6">
        <v>0</v>
      </c>
      <c r="D184" s="6">
        <v>6.12745098039355E-4</v>
      </c>
      <c r="E184" s="6">
        <v>0</v>
      </c>
      <c r="F184" s="6">
        <v>0</v>
      </c>
      <c r="G184" s="6">
        <v>0</v>
      </c>
    </row>
    <row r="185" spans="1:13" x14ac:dyDescent="0.3">
      <c r="A185" s="3" t="s">
        <v>42</v>
      </c>
      <c r="B185" s="6">
        <v>2.2560975609756027E-2</v>
      </c>
      <c r="C185" s="6">
        <v>3.1233732431025212E-3</v>
      </c>
      <c r="D185" s="6">
        <v>6.1236987140232697E-3</v>
      </c>
      <c r="E185" s="6">
        <v>9.8400984009839754E-3</v>
      </c>
      <c r="F185" s="6">
        <v>1.1038961038960965E-2</v>
      </c>
      <c r="G185" s="6">
        <v>6.2500000000000003E-3</v>
      </c>
    </row>
    <row r="186" spans="1:13" x14ac:dyDescent="0.3">
      <c r="A186" s="3" t="s">
        <v>43</v>
      </c>
      <c r="B186" s="6">
        <v>1.1926058437686345E-2</v>
      </c>
      <c r="C186" s="6">
        <v>1.0378827192528131E-3</v>
      </c>
      <c r="D186" s="6">
        <v>9.1296409007912346E-3</v>
      </c>
      <c r="E186" s="6">
        <v>-1.8270401948841837E-3</v>
      </c>
      <c r="F186" s="6">
        <v>-5.7803468208091026E-3</v>
      </c>
      <c r="G186" s="6">
        <v>2.4844720496894762E-3</v>
      </c>
    </row>
    <row r="187" spans="1:13" x14ac:dyDescent="0.3">
      <c r="A187" s="3" t="s">
        <v>44</v>
      </c>
      <c r="B187" s="6">
        <v>-8.8391278727165592E-3</v>
      </c>
      <c r="C187" s="6">
        <v>-2.592016588906169E-3</v>
      </c>
      <c r="D187" s="6">
        <v>7.2376357056694119E-3</v>
      </c>
      <c r="E187" s="6">
        <v>1.2202562538132314E-3</v>
      </c>
      <c r="F187" s="6">
        <v>5.8139534883719455E-3</v>
      </c>
      <c r="G187" s="6">
        <v>3.7174721189590725E-3</v>
      </c>
    </row>
    <row r="188" spans="1:13" x14ac:dyDescent="0.3">
      <c r="A188" s="2">
        <v>2022</v>
      </c>
      <c r="B188" s="6"/>
      <c r="C188" s="6"/>
      <c r="D188" s="6"/>
      <c r="E188" s="6"/>
      <c r="F188" s="6"/>
      <c r="G188" s="6"/>
    </row>
    <row r="189" spans="1:13" x14ac:dyDescent="0.3">
      <c r="A189" s="3" t="s">
        <v>30</v>
      </c>
      <c r="B189" s="6"/>
      <c r="C189" s="6"/>
      <c r="D189" s="6"/>
      <c r="E189" s="6"/>
      <c r="F189" s="6"/>
      <c r="G189" s="6"/>
      <c r="J189" s="8"/>
    </row>
    <row r="190" spans="1:13" x14ac:dyDescent="0.3">
      <c r="A190" s="3" t="s">
        <v>34</v>
      </c>
      <c r="B190" s="6">
        <v>-1.2019230769231793E-3</v>
      </c>
      <c r="C190" s="6">
        <v>3.1217481789803476E-3</v>
      </c>
      <c r="D190" s="6">
        <v>6.5281899109791951E-3</v>
      </c>
      <c r="E190" s="6">
        <v>9.1352009744214372E-3</v>
      </c>
      <c r="F190" s="6">
        <v>2.5559105431310269E-3</v>
      </c>
      <c r="G190" s="6">
        <v>4.9170251997542186E-3</v>
      </c>
    </row>
    <row r="191" spans="1:13" x14ac:dyDescent="0.3">
      <c r="A191" s="3" t="s">
        <v>35</v>
      </c>
      <c r="B191" s="6">
        <v>1.3237063778580128E-2</v>
      </c>
      <c r="C191" s="6">
        <v>4.6680497925310023E-3</v>
      </c>
      <c r="D191" s="6">
        <v>8.8443396226415092E-3</v>
      </c>
      <c r="E191" s="6">
        <v>9.0525045262522634E-3</v>
      </c>
      <c r="F191" s="6">
        <v>6.3734862970044612E-3</v>
      </c>
      <c r="G191" s="6">
        <v>6.7278287461773351E-3</v>
      </c>
    </row>
    <row r="192" spans="1:13" x14ac:dyDescent="0.3">
      <c r="A192" s="3" t="s">
        <v>36</v>
      </c>
      <c r="B192" s="6">
        <v>1.4251781472684119E-2</v>
      </c>
      <c r="C192" s="6">
        <v>1.0325245224574965E-3</v>
      </c>
      <c r="D192" s="6">
        <v>9.9357101110462715E-3</v>
      </c>
      <c r="E192" s="6">
        <v>2.9904306220095697E-2</v>
      </c>
      <c r="F192" s="6">
        <v>2.9765674477517344E-2</v>
      </c>
      <c r="G192" s="6">
        <v>1.3365735115431453E-2</v>
      </c>
    </row>
    <row r="193" spans="1:7" x14ac:dyDescent="0.3">
      <c r="A193" s="3" t="s">
        <v>37</v>
      </c>
      <c r="B193" s="6">
        <v>1.4637002341920374E-2</v>
      </c>
      <c r="C193" s="6">
        <v>1.0314595152139691E-3</v>
      </c>
      <c r="D193" s="6">
        <v>1.0416666666666567E-2</v>
      </c>
      <c r="E193" s="6">
        <v>1.3937282229965191E-2</v>
      </c>
      <c r="F193" s="6">
        <v>2.4600246002460377E-3</v>
      </c>
      <c r="G193" s="6">
        <v>4.1966426858512504E-3</v>
      </c>
    </row>
    <row r="194" spans="1:7" x14ac:dyDescent="0.3">
      <c r="A194" s="3" t="s">
        <v>38</v>
      </c>
      <c r="B194" s="6">
        <v>9.2325447201384546E-3</v>
      </c>
      <c r="C194" s="6">
        <v>1.0303967027306391E-3</v>
      </c>
      <c r="D194" s="6">
        <v>8.0183276059565042E-3</v>
      </c>
      <c r="E194" s="6">
        <v>8.0183276059565042E-3</v>
      </c>
      <c r="F194" s="6">
        <v>-1.1656441717791446E-2</v>
      </c>
      <c r="G194" s="6">
        <v>0</v>
      </c>
    </row>
    <row r="195" spans="1:7" x14ac:dyDescent="0.3">
      <c r="A195" s="3" t="s">
        <v>39</v>
      </c>
      <c r="B195" s="6">
        <v>5.7175528873638828E-4</v>
      </c>
      <c r="C195" s="6">
        <v>1.5440041173442251E-3</v>
      </c>
      <c r="D195" s="6">
        <v>7.3863636363637013E-3</v>
      </c>
      <c r="E195" s="6">
        <v>2.0454545454545423E-2</v>
      </c>
      <c r="F195" s="6">
        <v>3.1036623215394167E-3</v>
      </c>
      <c r="G195" s="6">
        <v>5.3731343283582433E-3</v>
      </c>
    </row>
    <row r="196" spans="1:7" x14ac:dyDescent="0.3">
      <c r="A196" s="3" t="s">
        <v>40</v>
      </c>
      <c r="B196" s="6">
        <v>7.4285714285714935E-3</v>
      </c>
      <c r="C196" s="6">
        <v>2.0554984583761853E-3</v>
      </c>
      <c r="D196" s="6">
        <v>6.7681895093061962E-3</v>
      </c>
      <c r="E196" s="6">
        <v>-4.4543429844097048E-3</v>
      </c>
      <c r="F196" s="6">
        <v>1.8564356435644268E-3</v>
      </c>
      <c r="G196" s="6">
        <v>4.1567695961994573E-3</v>
      </c>
    </row>
    <row r="197" spans="1:7" x14ac:dyDescent="0.3">
      <c r="A197" s="3" t="s">
        <v>41</v>
      </c>
      <c r="B197" s="6">
        <v>8.5082246171298923E-3</v>
      </c>
      <c r="C197" s="6">
        <v>4.6153846153846444E-3</v>
      </c>
      <c r="D197" s="6">
        <v>7.8431372549019919E-3</v>
      </c>
      <c r="E197" s="6">
        <v>3.9149888143176093E-3</v>
      </c>
      <c r="F197" s="6">
        <v>2.470660901791264E-3</v>
      </c>
      <c r="G197" s="6">
        <v>3.548196333530422E-3</v>
      </c>
    </row>
    <row r="198" spans="1:7" x14ac:dyDescent="0.3">
      <c r="A198" s="3" t="s">
        <v>42</v>
      </c>
      <c r="B198" s="6">
        <v>1.0123734533183255E-2</v>
      </c>
      <c r="C198" s="6">
        <v>2.0418580908627142E-3</v>
      </c>
      <c r="D198" s="6">
        <v>6.1145080600333197E-3</v>
      </c>
      <c r="E198" s="6">
        <v>5.5710306406685237E-3</v>
      </c>
      <c r="F198" s="6">
        <v>3.6968576709796321E-3</v>
      </c>
      <c r="G198" s="6">
        <v>4.7142015321155655E-3</v>
      </c>
    </row>
    <row r="199" spans="1:7" x14ac:dyDescent="0.3">
      <c r="A199" s="3" t="s">
        <v>43</v>
      </c>
      <c r="B199" s="6">
        <v>-7.2383073496658295E-3</v>
      </c>
      <c r="C199" s="6">
        <v>3.0565461029036897E-3</v>
      </c>
      <c r="D199" s="6">
        <v>6.0773480662983112E-3</v>
      </c>
      <c r="E199" s="6">
        <v>4.4321329639889825E-3</v>
      </c>
      <c r="F199" s="6">
        <v>6.1387354205030267E-4</v>
      </c>
      <c r="G199" s="6">
        <v>3.5190615835776792E-3</v>
      </c>
    </row>
    <row r="200" spans="1:7" x14ac:dyDescent="0.3">
      <c r="A200" s="3" t="s">
        <v>44</v>
      </c>
      <c r="B200" s="6">
        <v>-1.3460459899046581E-2</v>
      </c>
      <c r="C200" s="6">
        <v>2.031488065007647E-3</v>
      </c>
      <c r="D200" s="6">
        <v>4.9423393739703777E-3</v>
      </c>
      <c r="E200" s="6">
        <v>3.8610038610037982E-3</v>
      </c>
      <c r="F200" s="6">
        <v>2.4539877300613845E-3</v>
      </c>
      <c r="G200" s="6">
        <v>5.2600818234950653E-3</v>
      </c>
    </row>
    <row r="201" spans="1:7" x14ac:dyDescent="0.3">
      <c r="A201" s="2">
        <v>2023</v>
      </c>
      <c r="B201" s="6"/>
      <c r="C201" s="6"/>
      <c r="D201" s="6"/>
      <c r="E201" s="6"/>
      <c r="F201" s="6"/>
      <c r="G201" s="6"/>
    </row>
    <row r="202" spans="1:7" x14ac:dyDescent="0.3">
      <c r="A202" s="3" t="s">
        <v>30</v>
      </c>
      <c r="B202" s="6"/>
      <c r="C202" s="6"/>
      <c r="D202" s="6"/>
      <c r="E202" s="6"/>
      <c r="F202" s="6"/>
      <c r="G202" s="6"/>
    </row>
    <row r="203" spans="1:7" x14ac:dyDescent="0.3">
      <c r="A203" s="3" t="s">
        <v>34</v>
      </c>
      <c r="B203" s="6">
        <v>1.6977928692700134E-3</v>
      </c>
      <c r="C203" s="6">
        <v>6.5590312815338621E-3</v>
      </c>
      <c r="D203" s="6">
        <v>7.0729053318823879E-3</v>
      </c>
      <c r="E203" s="6">
        <v>5.4945054945051823E-4</v>
      </c>
      <c r="F203" s="6">
        <v>3.6674816625916523E-3</v>
      </c>
      <c r="G203" s="6">
        <v>7.5231481481480489E-3</v>
      </c>
    </row>
    <row r="204" spans="1:7" x14ac:dyDescent="0.3">
      <c r="A204" s="3" t="s">
        <v>35</v>
      </c>
      <c r="B204" s="6">
        <v>0</v>
      </c>
      <c r="C204" s="6">
        <v>0</v>
      </c>
      <c r="D204" s="6">
        <v>0</v>
      </c>
      <c r="E204" s="6">
        <v>-1.0982976386600144E-3</v>
      </c>
      <c r="F204" s="6">
        <v>0</v>
      </c>
      <c r="G204" s="6">
        <v>0</v>
      </c>
    </row>
    <row r="205" spans="1:7" x14ac:dyDescent="0.3">
      <c r="A205" s="3" t="s">
        <v>36</v>
      </c>
      <c r="B205" s="6">
        <v>5.0847457627118961E-3</v>
      </c>
      <c r="C205" s="6">
        <v>5.5137844611528536E-3</v>
      </c>
      <c r="D205" s="6">
        <v>3.2414910858994833E-3</v>
      </c>
      <c r="E205" s="6">
        <v>-1.0995052226499013E-3</v>
      </c>
      <c r="F205" s="6">
        <v>1.8270401948843567E-3</v>
      </c>
      <c r="G205" s="6">
        <v>5.1694428489374254E-3</v>
      </c>
    </row>
    <row r="206" spans="1:7" x14ac:dyDescent="0.3">
      <c r="A206" s="3" t="s">
        <v>37</v>
      </c>
      <c r="B206" s="6">
        <v>6.7453625632377095E-3</v>
      </c>
      <c r="C206" s="6">
        <v>1.9940179461615439E-3</v>
      </c>
      <c r="D206" s="6">
        <v>2.6925148088314489E-3</v>
      </c>
      <c r="E206" s="6">
        <v>6.0539350577876877E-3</v>
      </c>
      <c r="F206" s="6">
        <v>1.8237082066869992E-3</v>
      </c>
      <c r="G206" s="6">
        <v>3.999999999999935E-3</v>
      </c>
    </row>
  </sheetData>
  <conditionalFormatting pivot="1" sqref="B7:D17 B19:D30 B32:D3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{F513DB37-C596-494C-9451-A4960BA17FF7}</x14:id>
        </ext>
      </extLst>
    </cfRule>
  </conditionalFormatting>
  <conditionalFormatting pivot="1" sqref="B51:D61 B63:D74 B76:D8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{37F294BF-A44C-4158-9E55-98FF670CCE38}</x14:id>
        </ext>
      </extLst>
    </cfRule>
  </conditionalFormatting>
  <conditionalFormatting pivot="1" sqref="B95:D105 B107:D118 B120:D1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{2DE9A225-8978-4FE2-9495-4858099F76A7}</x14:id>
        </ext>
      </extLst>
    </cfRule>
  </conditionalFormatting>
  <conditionalFormatting pivot="1" sqref="B140:G150 B152:G163 B165:G16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{3B0FE9BB-882E-4F8C-98C9-365C5341BCBA}</x14:id>
        </ext>
      </extLst>
    </cfRule>
  </conditionalFormatting>
  <conditionalFormatting pivot="1" sqref="J140:O150 J152:O163 J165:O16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{65486818-192F-4D2A-A692-2F4AE0165450}</x14:id>
        </ext>
      </extLst>
    </cfRule>
  </conditionalFormatting>
  <conditionalFormatting pivot="1" sqref="B177:G187 B189:G200 B202:G20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{0DE4493F-B8CE-4E3F-81D4-7C9CA8864A53}</x14:id>
        </ext>
      </extLst>
    </cfRule>
  </conditionalFormatting>
  <pageMargins left="0.7" right="0.7" top="0.75" bottom="0.75" header="0.3" footer="0.3"/>
  <pageSetup orientation="portrait" r:id="rId7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513DB37-C596-494C-9451-A4960BA1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B7:D17 B19:D30 B32:D36</xm:sqref>
        </x14:conditionalFormatting>
        <x14:conditionalFormatting xmlns:xm="http://schemas.microsoft.com/office/excel/2006/main" pivot="1">
          <x14:cfRule type="dataBar" id="{37F294BF-A44C-4158-9E55-98FF670CC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B51:D61 B63:D74 B76:D80</xm:sqref>
        </x14:conditionalFormatting>
        <x14:conditionalFormatting xmlns:xm="http://schemas.microsoft.com/office/excel/2006/main" pivot="1">
          <x14:cfRule type="dataBar" id="{2DE9A225-8978-4FE2-9495-4858099F7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B95:D105 B107:D118 B120:D124</xm:sqref>
        </x14:conditionalFormatting>
        <x14:conditionalFormatting xmlns:xm="http://schemas.microsoft.com/office/excel/2006/main" pivot="1">
          <x14:cfRule type="dataBar" id="{3B0FE9BB-882E-4F8C-98C9-365C5341B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B140:G150 B152:G163 B165:G169</xm:sqref>
        </x14:conditionalFormatting>
        <x14:conditionalFormatting xmlns:xm="http://schemas.microsoft.com/office/excel/2006/main" pivot="1">
          <x14:cfRule type="dataBar" id="{65486818-192F-4D2A-A692-2F4AE0165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J140:O150 J152:O163 J165:O169</xm:sqref>
        </x14:conditionalFormatting>
        <x14:conditionalFormatting xmlns:xm="http://schemas.microsoft.com/office/excel/2006/main" pivot="1">
          <x14:cfRule type="dataBar" id="{0DE4493F-B8CE-4E3F-81D4-7C9CA8864A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B177:G187 B189:G200 B202:G206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AF88B-29CC-44A8-A39F-D065CEBBE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All_India_Index_Upto_April23 (1</vt:lpstr>
      <vt:lpstr>Broader Contribution</vt:lpstr>
      <vt:lpstr>Y-O-Y CPI Increase</vt:lpstr>
      <vt:lpstr>M-O-M %Change</vt:lpstr>
      <vt:lpstr>COVID % Change</vt:lpstr>
      <vt:lpstr>Oil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jadab pan</cp:lastModifiedBy>
  <dcterms:created xsi:type="dcterms:W3CDTF">2026-07-04T22:27:31Z</dcterms:created>
  <dcterms:modified xsi:type="dcterms:W3CDTF">2026-07-17T09:42:01Z</dcterms:modified>
</cp:coreProperties>
</file>